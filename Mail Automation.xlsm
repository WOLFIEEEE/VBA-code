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49fbc38b96c9f161/Desktop/"/>
    </mc:Choice>
  </mc:AlternateContent>
  <xr:revisionPtr revIDLastSave="732" documentId="13_ncr:1_{172D2C5D-7121-498D-BB75-9550DAF7164F}" xr6:coauthVersionLast="47" xr6:coauthVersionMax="47" xr10:uidLastSave="{3BAD9515-3AB3-411C-A292-DA291CD24D9D}"/>
  <bookViews>
    <workbookView xWindow="-96" yWindow="-96" windowWidth="23232" windowHeight="12432" activeTab="1" xr2:uid="{00000000-000D-0000-FFFF-FFFF00000000}"/>
  </bookViews>
  <sheets>
    <sheet name="Scope &amp; Enviornment" sheetId="1" r:id="rId1"/>
    <sheet name="Data &amp; Chart" sheetId="18" r:id="rId2"/>
    <sheet name="Execution Summary" sheetId="2" r:id="rId3"/>
    <sheet name="Sheet1" sheetId="19"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0" i="18" l="1"/>
  <c r="E90" i="18" l="1"/>
  <c r="E105" i="18"/>
  <c r="D105" i="18"/>
  <c r="C105" i="18"/>
  <c r="I90" i="18"/>
  <c r="H90" i="18"/>
  <c r="G90" i="18"/>
  <c r="F90" i="18"/>
  <c r="D90" i="18"/>
  <c r="C90" i="18"/>
  <c r="D75" i="18"/>
  <c r="C75" i="18"/>
  <c r="F60" i="18"/>
  <c r="D60" i="18"/>
  <c r="C60" i="18"/>
</calcChain>
</file>

<file path=xl/sharedStrings.xml><?xml version="1.0" encoding="utf-8"?>
<sst xmlns="http://schemas.openxmlformats.org/spreadsheetml/2006/main" count="397" uniqueCount="188">
  <si>
    <t>ATIRApay - Acura Dealer Rewards Card_Accessibility Testing</t>
  </si>
  <si>
    <t>Environment</t>
  </si>
  <si>
    <t>Platform / OS: Win 10, macOS (dWeb)
Browser: Google Chrome, Safari
Test URL: https://ezcardppsuat.fisglobal.com/?b=acuradealerrewards#/
AT (Screen Reader): JAWS 2021/2020, NVDA, VoiceOver for mac
Automation Accessibility Tools: Siteimprove Accessibility Checker, aXe DevTools
Browser + AT Combination: JAWS+Chrome, VoiceOver+Safari, NVDA+Firefox, NVDA+Edge</t>
  </si>
  <si>
    <t>Platform / OS: Android, iOS (mWeb)
Browser: Chrome, Safari
Test URL: https://ezcardppsuat.fisglobal.com/?b=acuradealerrewards#/
AT (Screen Reader): TalkBack, VoiceOver
Automation Accessibility Tools: NA
Browser + AT Combination: TalkBack+Chrome, iOS VoiceOver + Safari</t>
  </si>
  <si>
    <t>Scope</t>
  </si>
  <si>
    <t>Login Flow</t>
  </si>
  <si>
    <t>Home Page</t>
  </si>
  <si>
    <t>Transaction History</t>
  </si>
  <si>
    <t>Spend Analyzer</t>
  </si>
  <si>
    <t>Account Setting</t>
  </si>
  <si>
    <t>My Profile (Contact Information) Page</t>
  </si>
  <si>
    <t>FAQ's Page</t>
  </si>
  <si>
    <t>Agreement</t>
  </si>
  <si>
    <t>Enroll Now Flow*</t>
  </si>
  <si>
    <t>Change Password</t>
  </si>
  <si>
    <t>Card Activation/Stolen/Suspend Card Activity</t>
  </si>
  <si>
    <t>Manage PIN</t>
  </si>
  <si>
    <t>Notifications/Alert</t>
  </si>
  <si>
    <t>View Statement</t>
  </si>
  <si>
    <t>Statement Preference</t>
  </si>
  <si>
    <t>Keyboard Navigation</t>
  </si>
  <si>
    <t>Color Contrast</t>
  </si>
  <si>
    <t>Color</t>
  </si>
  <si>
    <t>Zoom</t>
  </si>
  <si>
    <t>HTML Validator</t>
  </si>
  <si>
    <t>Screen Reader</t>
  </si>
  <si>
    <t>Other A11y</t>
  </si>
  <si>
    <t>Critical</t>
  </si>
  <si>
    <t>High</t>
  </si>
  <si>
    <t>Medium</t>
  </si>
  <si>
    <t>Low</t>
  </si>
  <si>
    <t>Conformance Level</t>
  </si>
  <si>
    <t>1.4.3</t>
  </si>
  <si>
    <t>AA</t>
  </si>
  <si>
    <t>1.1.1</t>
  </si>
  <si>
    <t>A</t>
  </si>
  <si>
    <t>1.3.1</t>
  </si>
  <si>
    <t>1.4.1</t>
  </si>
  <si>
    <t>2.4.2</t>
  </si>
  <si>
    <t>3.3.2</t>
  </si>
  <si>
    <t>1.4.11</t>
  </si>
  <si>
    <t>4.1.3</t>
  </si>
  <si>
    <t>2.4.4</t>
  </si>
  <si>
    <t>1.4.4</t>
  </si>
  <si>
    <t>4.1.1</t>
  </si>
  <si>
    <t>1.3.2</t>
  </si>
  <si>
    <t>4.1.2</t>
  </si>
  <si>
    <t>2.4.3</t>
  </si>
  <si>
    <t>1.4.10</t>
  </si>
  <si>
    <t>2.1.1</t>
  </si>
  <si>
    <t>2.1.2</t>
  </si>
  <si>
    <t>2.4.6</t>
  </si>
  <si>
    <t>1.4.12</t>
  </si>
  <si>
    <t>1.3.5</t>
  </si>
  <si>
    <t>1.3.4</t>
  </si>
  <si>
    <t>1.4.5</t>
  </si>
  <si>
    <t>3.1.1</t>
  </si>
  <si>
    <t>3.3.3</t>
  </si>
  <si>
    <t>2.4.7</t>
  </si>
  <si>
    <t>2.2.1</t>
  </si>
  <si>
    <t>3.2.2</t>
  </si>
  <si>
    <t>WCAG Rule Wise Defect Distribution Chart</t>
  </si>
  <si>
    <t>1.1.1 Non Text Content</t>
  </si>
  <si>
    <t>1.3.1 Info and Relationship</t>
  </si>
  <si>
    <t>1.3.2 Meaningful Sequence</t>
  </si>
  <si>
    <t>1.3.4 Orientation</t>
  </si>
  <si>
    <t>1.3.5 Identify Input Purpose</t>
  </si>
  <si>
    <t>1.4.1 Use of Color</t>
  </si>
  <si>
    <t>1.4.3 Contrast (Minimum)</t>
  </si>
  <si>
    <t>1.4.4 Resize Text</t>
  </si>
  <si>
    <t>1.4.5 Image of Text</t>
  </si>
  <si>
    <t>1.4.10 Reflow</t>
  </si>
  <si>
    <t>1.4.11 Non Text Contrast</t>
  </si>
  <si>
    <t>1.4.12 Text Spacing</t>
  </si>
  <si>
    <t>2.1.1 Keyboard</t>
  </si>
  <si>
    <t>2.1.2 No Keyboard Trap</t>
  </si>
  <si>
    <t>2.2.1 Timing Adjustable</t>
  </si>
  <si>
    <t>2.4.2 Page Titled</t>
  </si>
  <si>
    <t>2.4.3 Focus Order</t>
  </si>
  <si>
    <t>2.4.4 Link Purpose (In Context)</t>
  </si>
  <si>
    <t>2.4.6 Headings and Labels</t>
  </si>
  <si>
    <t>2.4.7 Focus Visible</t>
  </si>
  <si>
    <t>3.1.1 Language of Page</t>
  </si>
  <si>
    <t>3.2.2 On Input</t>
  </si>
  <si>
    <t>3.3.2 Label or Instructions</t>
  </si>
  <si>
    <t>3.3.3 Error Suggestion</t>
  </si>
  <si>
    <t>4.1.1 Parsing</t>
  </si>
  <si>
    <t>4.1.2 Name, Role, Value</t>
  </si>
  <si>
    <t>4.1.3 Status Message</t>
  </si>
  <si>
    <t>Severity/Impact Wise Defect Distribution</t>
  </si>
  <si>
    <t>Defect count</t>
  </si>
  <si>
    <t>Conformance Level Wise Defect Distribution</t>
  </si>
  <si>
    <t>Result</t>
  </si>
  <si>
    <t>Fail</t>
  </si>
  <si>
    <t>Pass</t>
  </si>
  <si>
    <t>N/A</t>
  </si>
  <si>
    <t>1.2.1 Audio-only and Video-only (Prerecorded)</t>
  </si>
  <si>
    <t>Review</t>
  </si>
  <si>
    <t>1.2.2 Captions</t>
  </si>
  <si>
    <t>1.2.3 Audio Descriptions and Media Alternative (Prerecorded)</t>
  </si>
  <si>
    <t>1.2.4 Captions (Live)</t>
  </si>
  <si>
    <t>1.2.5 Audio Description (Prerecorded)</t>
  </si>
  <si>
    <t>1.3.3 Sensory Characteristics</t>
  </si>
  <si>
    <t>1.4.2 Audio Control</t>
  </si>
  <si>
    <t>1.4.13 Content on Hover or Focus</t>
  </si>
  <si>
    <t>2.1.4 Character Key Shortcut</t>
  </si>
  <si>
    <t>2.2.2 Pause, Stop, Hide</t>
  </si>
  <si>
    <t>2.3.1 Three Flashes or Below Threshold</t>
  </si>
  <si>
    <t>2.4.1 Bypass Block</t>
  </si>
  <si>
    <t>2.4.5 Multiple Ways</t>
  </si>
  <si>
    <t>2.5.1 Pointer Gestures</t>
  </si>
  <si>
    <t>2.5.2 Pointer Cancellation</t>
  </si>
  <si>
    <t>2.5.3 Label in Name</t>
  </si>
  <si>
    <t>2.5.4 Motion Actuation</t>
  </si>
  <si>
    <t>3.1.2 Language of Parts</t>
  </si>
  <si>
    <t>3.2.1 On Focus</t>
  </si>
  <si>
    <t>3.2.3 Consistent Navigation</t>
  </si>
  <si>
    <t>3.2.4 Consistent Identification</t>
  </si>
  <si>
    <t>3.3.1 Error Identification</t>
  </si>
  <si>
    <t>3.3.4 Error Prevention (Legal, Financial, Data)</t>
  </si>
  <si>
    <t>Column1</t>
  </si>
  <si>
    <t>WCAG</t>
  </si>
  <si>
    <t>1.2.1</t>
  </si>
  <si>
    <t>1.2.2</t>
  </si>
  <si>
    <t>1.2.3</t>
  </si>
  <si>
    <t>1.2.4</t>
  </si>
  <si>
    <t>1.2.5</t>
  </si>
  <si>
    <t>1.3.3</t>
  </si>
  <si>
    <t>1.4.2</t>
  </si>
  <si>
    <t>1.4.13</t>
  </si>
  <si>
    <t>2.1.4</t>
  </si>
  <si>
    <t>2.2.2</t>
  </si>
  <si>
    <t>2.3.1</t>
  </si>
  <si>
    <t>2.4.1</t>
  </si>
  <si>
    <t>2.4.5</t>
  </si>
  <si>
    <t>2.5.1</t>
  </si>
  <si>
    <t>2.5.2</t>
  </si>
  <si>
    <t>2.5.3</t>
  </si>
  <si>
    <t>2.5.4</t>
  </si>
  <si>
    <t>3.1.2</t>
  </si>
  <si>
    <t>3.2.1</t>
  </si>
  <si>
    <t>3.2.3</t>
  </si>
  <si>
    <t>3.2.4</t>
  </si>
  <si>
    <t>3.3.1</t>
  </si>
  <si>
    <t>3.3.4</t>
  </si>
  <si>
    <t>WCAG SC</t>
  </si>
  <si>
    <t>No of occurence</t>
  </si>
  <si>
    <t>Pages / Flows</t>
  </si>
  <si>
    <t>Execution Status</t>
  </si>
  <si>
    <t>Conformance Level Wise Distribution</t>
  </si>
  <si>
    <t>Accessibility Issue Type Distribution</t>
  </si>
  <si>
    <t>Imace Wise Distribution</t>
  </si>
  <si>
    <t>Window</t>
  </si>
  <si>
    <t>macOS</t>
  </si>
  <si>
    <t>Android</t>
  </si>
  <si>
    <t>iOS</t>
  </si>
  <si>
    <t>Level A</t>
  </si>
  <si>
    <t>Level AA</t>
  </si>
  <si>
    <t>Yes</t>
  </si>
  <si>
    <t>Status</t>
  </si>
  <si>
    <t>S.No.</t>
  </si>
  <si>
    <t>Title</t>
  </si>
  <si>
    <t>Repro Steps</t>
  </si>
  <si>
    <t>Actual Result</t>
  </si>
  <si>
    <t>Expected Result</t>
  </si>
  <si>
    <t>Recommendations</t>
  </si>
  <si>
    <t>WCAG SC#</t>
  </si>
  <si>
    <t>Impact</t>
  </si>
  <si>
    <t>Automation</t>
  </si>
  <si>
    <t>Issue Type</t>
  </si>
  <si>
    <t>Incorrect focus management after user redirect to the home page.</t>
  </si>
  <si>
    <t>Prerequisite:
- The user must be login with the valid user credentials.
1. Using any desktop browser or Android TalkBack+Chrome or iOS VoiceOver+Safari, open the URL.
2. Observe the focus on the Home page after login.</t>
  </si>
  <si>
    <t>The focus shifts to the 'Welcome ashish!' heading level 1 and skips many elements in the header section.</t>
  </si>
  <si>
    <t>The focus should be set to the first interactive element on the page and along with it, the page title must be announced.</t>
  </si>
  <si>
    <t>Ensure to set focus to the first interactive element on the page as soon as the home page appears after login.</t>
  </si>
  <si>
    <t>No</t>
  </si>
  <si>
    <t>Web</t>
  </si>
  <si>
    <t>With reflow on home page, the tab items truncated.</t>
  </si>
  <si>
    <t>Prerequisite:
- Set the browser width to 320 pixels or use responsive design mode in the browser dev tools to set the width to 320 pixels
1. Using any desktop browser, open the URL.
2. Enter all required input into the username and password edit field and select the login button to submit the form.
3. Enter the security question to complete the login flow to open the home page.
4. Note how the content appears on the page.</t>
  </si>
  <si>
    <t>The 'Recent Transaction' tab item is getting truncated at 320px browser width.</t>
  </si>
  <si>
    <t>The 'Recent Transaction' tab item is getting truncThere should not be any truncation appearing on the page after reflowing the page at 320px browser width.</t>
  </si>
  <si>
    <t>Use responsive design methods to adjust the layout of the page so users can still access all the functionality and are able to read the content without having to scroll horizontally.</t>
  </si>
  <si>
    <t>dWeb</t>
  </si>
  <si>
    <t>The aria-expanded attribute is only allowed on elements with a compatible role="..."</t>
  </si>
  <si>
    <t>1. Using any desktop browser, open the URL and sign in with valid creds.
2. Inspect the menu bar in the header section and note how it is implemented.</t>
  </si>
  <si>
    <t>The unnecessary state aria-expanded is used without any role in the header section.
- &lt;div class="menu" id="main-menu" aria-expanded="false"&gt;</t>
  </si>
  <si>
    <t>The aria-expanded should be used with a valid role attribute and here is no need to define it.</t>
  </si>
  <si>
    <t>Remove the aria-expanded from the &lt;div&gt;.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</si>
</sst>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b/>
      <sz val="11"/>
      <name val="Calibri"/>
      <family val="2"/>
    </font>
    <font>
      <sz val="11"/>
      <color rgb="FF000000"/>
      <name val="Calibri"/>
      <family val="2"/>
    </font>
    <font>
      <b/>
      <sz val="10"/>
      <name val="Calibri"/>
      <family val="2"/>
    </font>
    <font>
      <b/>
      <sz val="13"/>
      <color theme="0"/>
      <name val="Calibri"/>
      <family val="2"/>
      <scheme val="minor"/>
    </font>
    <font>
      <sz val="13"/>
      <color rgb="FF2F5496"/>
      <name val="Calibri"/>
    </font>
    <font>
      <sz val="11"/>
      <name val="Calibri"/>
    </font>
    <font>
      <b/>
      <sz val="11"/>
      <name val="Calibri"/>
    </font>
    <font>
      <sz val="8"/>
      <name val="Calibri"/>
      <family val="2"/>
      <scheme val="minor"/>
    </font>
    <font>
      <b/>
      <sz val="11"/>
      <color theme="1"/>
      <name val="Calibri"/>
      <family val="2"/>
    </font>
  </fonts>
  <fills count="9">
    <fill>
      <patternFill patternType="none"/>
    </fill>
    <fill>
      <patternFill patternType="gray125"/>
    </fill>
    <fill>
      <patternFill patternType="solid">
        <fgColor theme="4" tint="0.59999389629810485"/>
        <bgColor indexed="64"/>
      </patternFill>
    </fill>
    <fill>
      <patternFill patternType="solid">
        <fgColor theme="4"/>
        <bgColor indexed="64"/>
      </patternFill>
    </fill>
    <fill>
      <patternFill patternType="solid">
        <fgColor theme="9" tint="0.79998168889431442"/>
        <bgColor indexed="64"/>
      </patternFill>
    </fill>
    <fill>
      <patternFill patternType="solid">
        <fgColor theme="0"/>
        <bgColor indexed="64"/>
      </patternFill>
    </fill>
    <fill>
      <patternFill patternType="solid">
        <fgColor rgb="FFFFFFFF"/>
        <bgColor rgb="FFFFFFFF"/>
      </patternFill>
    </fill>
    <fill>
      <patternFill patternType="solid">
        <fgColor rgb="FFB4C6E7"/>
        <bgColor rgb="FFB4C6E7"/>
      </patternFill>
    </fill>
    <fill>
      <patternFill patternType="solid">
        <fgColor theme="8"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7" fillId="6" borderId="16">
      <alignment horizontal="left" vertical="center"/>
    </xf>
    <xf numFmtId="0" fontId="8" fillId="7" borderId="16">
      <alignment horizontal="left" vertical="center"/>
    </xf>
  </cellStyleXfs>
  <cellXfs count="48">
    <xf numFmtId="0" fontId="0" fillId="0" borderId="0" xfId="0"/>
    <xf numFmtId="0" fontId="0" fillId="4" borderId="2" xfId="0" applyFill="1" applyBorder="1"/>
    <xf numFmtId="0" fontId="0" fillId="0" borderId="2" xfId="0" applyBorder="1"/>
    <xf numFmtId="0" fontId="0" fillId="0" borderId="3" xfId="0" applyBorder="1"/>
    <xf numFmtId="0" fontId="6" fillId="0" borderId="0" xfId="0" applyFont="1"/>
    <xf numFmtId="0" fontId="7" fillId="6" borderId="16" xfId="1">
      <alignment horizontal="left" vertical="center"/>
    </xf>
    <xf numFmtId="0" fontId="2" fillId="7" borderId="13" xfId="2" applyFont="1" applyBorder="1">
      <alignment horizontal="left" vertical="center"/>
    </xf>
    <xf numFmtId="0" fontId="8" fillId="7" borderId="17" xfId="2" applyBorder="1">
      <alignment horizontal="left" vertical="center"/>
    </xf>
    <xf numFmtId="0" fontId="7" fillId="6" borderId="18" xfId="1" applyBorder="1">
      <alignment horizontal="left" vertical="center"/>
    </xf>
    <xf numFmtId="0" fontId="1" fillId="5" borderId="1" xfId="0" applyFont="1" applyFill="1" applyBorder="1"/>
    <xf numFmtId="0" fontId="1" fillId="5" borderId="20" xfId="0" applyFont="1" applyFill="1" applyBorder="1"/>
    <xf numFmtId="0" fontId="0" fillId="5" borderId="12" xfId="0" applyFill="1" applyBorder="1"/>
    <xf numFmtId="0" fontId="0" fillId="5" borderId="19" xfId="0" applyFill="1" applyBorder="1"/>
    <xf numFmtId="0" fontId="2" fillId="7" borderId="17" xfId="2" applyFont="1" applyBorder="1">
      <alignment horizontal="left" vertical="center"/>
    </xf>
    <xf numFmtId="0" fontId="2" fillId="7" borderId="11" xfId="2" applyFont="1" applyBorder="1">
      <alignment horizontal="left" vertical="center"/>
    </xf>
    <xf numFmtId="0" fontId="7" fillId="6" borderId="1" xfId="1" applyBorder="1">
      <alignment horizontal="left" vertical="center"/>
    </xf>
    <xf numFmtId="0" fontId="7" fillId="6" borderId="20" xfId="1" applyBorder="1">
      <alignment horizontal="left" vertical="center"/>
    </xf>
    <xf numFmtId="0" fontId="0" fillId="0" borderId="1" xfId="0" applyBorder="1"/>
    <xf numFmtId="0" fontId="1" fillId="2" borderId="1" xfId="0" applyFont="1" applyFill="1" applyBorder="1"/>
    <xf numFmtId="0" fontId="1" fillId="2" borderId="24" xfId="0" applyFont="1" applyFill="1" applyBorder="1"/>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24" xfId="0" applyFont="1" applyBorder="1" applyAlignment="1">
      <alignment horizontal="center" vertical="center"/>
    </xf>
    <xf numFmtId="0" fontId="10" fillId="4" borderId="1"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0" fillId="0" borderId="25" xfId="0" applyBorder="1"/>
    <xf numFmtId="0" fontId="1" fillId="2" borderId="14" xfId="0" applyFont="1" applyFill="1" applyBorder="1" applyAlignment="1">
      <alignment horizontal="center" vertical="center"/>
    </xf>
    <xf numFmtId="0" fontId="0" fillId="0" borderId="6" xfId="0" applyBorder="1"/>
    <xf numFmtId="0" fontId="0" fillId="0" borderId="0" xfId="0" applyAlignment="1">
      <alignment vertical="center"/>
    </xf>
    <xf numFmtId="0" fontId="0" fillId="0" borderId="0" xfId="0"/>
    <xf numFmtId="0" fontId="4" fillId="0" borderId="14" xfId="0" applyFont="1" applyBorder="1" applyAlignment="1">
      <alignment horizontal="left" vertical="top" wrapText="1"/>
    </xf>
    <xf numFmtId="0" fontId="0" fillId="0" borderId="4" xfId="0" applyBorder="1"/>
    <xf numFmtId="0" fontId="0" fillId="0" borderId="5" xfId="0" applyBorder="1"/>
    <xf numFmtId="0" fontId="5" fillId="3" borderId="14" xfId="0" applyFont="1" applyFill="1" applyBorder="1" applyAlignment="1">
      <alignment horizontal="center" vertical="center"/>
    </xf>
    <xf numFmtId="0" fontId="4" fillId="0" borderId="9" xfId="0" applyFont="1" applyBorder="1" applyAlignment="1">
      <alignment horizontal="left" vertical="top" wrapText="1"/>
    </xf>
    <xf numFmtId="0" fontId="0" fillId="0" borderId="7" xfId="0" applyBorder="1"/>
    <xf numFmtId="0" fontId="0" fillId="0" borderId="8" xfId="0" applyBorder="1"/>
    <xf numFmtId="0" fontId="1" fillId="2" borderId="10" xfId="0" applyFont="1" applyFill="1" applyBorder="1" applyAlignment="1">
      <alignment horizontal="center" vertical="center"/>
    </xf>
    <xf numFmtId="0" fontId="0" fillId="0" borderId="15" xfId="0" applyBorder="1"/>
    <xf numFmtId="0" fontId="0" fillId="0" borderId="0" xfId="0" applyAlignment="1">
      <alignment horizontal="center"/>
    </xf>
    <xf numFmtId="0" fontId="1" fillId="8" borderId="21" xfId="0" applyFont="1" applyFill="1" applyBorder="1" applyAlignment="1">
      <alignment horizontal="center" vertical="center"/>
    </xf>
    <xf numFmtId="0" fontId="1" fillId="8" borderId="2"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1" xfId="0" applyFont="1" applyFill="1" applyBorder="1" applyAlignment="1">
      <alignment horizontal="center" vertical="center"/>
    </xf>
    <xf numFmtId="0" fontId="0" fillId="0" borderId="0" xfId="0" applyAlignment="1">
      <alignment wrapText="1"/>
    </xf>
  </cellXfs>
  <cellStyles count="3">
    <cellStyle name="cell_style" xfId="1" xr:uid="{00000000-0005-0000-0000-000001000000}"/>
    <cellStyle name="header_cell_style" xfId="2" xr:uid="{00000000-0005-0000-0000-000002000000}"/>
    <cellStyle name="Normal" xfId="0" builtinId="0"/>
  </cellStyles>
  <dxfs count="13">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font>
        <b/>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WCAG 2.1 AA Success Criteria Distribution</a:t>
            </a:r>
          </a:p>
        </c:rich>
      </c:tx>
      <c:overlay val="0"/>
    </c:title>
    <c:autoTitleDeleted val="0"/>
    <c:plotArea>
      <c:layout/>
      <c:barChart>
        <c:barDir val="col"/>
        <c:grouping val="clustered"/>
        <c:varyColors val="0"/>
        <c:ser>
          <c:idx val="0"/>
          <c:order val="0"/>
          <c:tx>
            <c:strRef>
              <c:f>'Data &amp; Chart'!$C$4</c:f>
              <c:strCache>
                <c:ptCount val="1"/>
                <c:pt idx="0">
                  <c:v>No of occurence</c:v>
                </c:pt>
              </c:strCache>
            </c:strRef>
          </c:tx>
          <c:spPr>
            <a:ln>
              <a:prstDash val="soli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'Data &amp; Chart'!$B$5:$B$54</c:f>
              <c:strCache>
                <c:ptCount val="3"/>
                <c:pt idx="0">
                  <c:v>1.4.10 Reflow</c:v>
                </c:pt>
                <c:pt idx="1">
                  <c:v>2.4.3 Focus Order</c:v>
                </c:pt>
                <c:pt idx="2">
                  <c:v>4.1.2 Name, Role, Value</c:v>
                </c:pt>
              </c:strCache>
            </c:strRef>
          </c:cat>
          <c:val>
            <c:numRef>
              <c:f>'Data &amp; Chart'!$C$5:$C$54</c:f>
              <c:numCache>
                <c:formatCode>General</c:formatCode>
                <c:ptCount val="3"/>
                <c:pt idx="0">
                  <c:v>1</c:v>
                </c:pt>
                <c:pt idx="1">
                  <c:v>1</c:v>
                </c:pt>
                <c:pt idx="2">
                  <c:v>1</c:v>
                </c:pt>
              </c:numCache>
            </c:numRef>
          </c:val>
          <c:extLst>
            <c:ext xmlns:c16="http://schemas.microsoft.com/office/drawing/2014/chart" uri="{C3380CC4-5D6E-409C-BE32-E72D297353CC}">
              <c16:uniqueId val="{00000000-911C-4369-948A-1D6B0CA4FDA9}"/>
            </c:ext>
          </c:extLst>
        </c:ser>
        <c:dLbls>
          <c:showLegendKey val="0"/>
          <c:showVal val="1"/>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en-IN"/>
                  <a:t>WCAG Success Criteria #</a:t>
                </a:r>
              </a:p>
            </c:rich>
          </c:tx>
          <c:overlay val="0"/>
        </c:title>
        <c:numFmt formatCode="General" sourceLinked="1"/>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title>
          <c:tx>
            <c:rich>
              <a:bodyPr/>
              <a:lstStyle/>
              <a:p>
                <a:pPr>
                  <a:defRPr/>
                </a:pPr>
                <a:r>
                  <a:rPr lang="en-IN"/>
                  <a:t>Defect Count</a:t>
                </a:r>
              </a:p>
            </c:rich>
          </c:tx>
          <c:overlay val="0"/>
        </c:title>
        <c:numFmt formatCode="General" sourceLinked="1"/>
        <c:majorTickMark val="none"/>
        <c:minorTickMark val="none"/>
        <c:tickLblPos val="nextTo"/>
        <c:crossAx val="1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IN"/>
              <a:t>Severity/Impact Wise Defect Distribution</a:t>
            </a:r>
          </a:p>
        </c:rich>
      </c:tx>
      <c:overlay val="0"/>
    </c:title>
    <c:autoTitleDeleted val="0"/>
    <c:plotArea>
      <c:layout/>
      <c:barChart>
        <c:barDir val="col"/>
        <c:grouping val="clustered"/>
        <c:varyColors val="0"/>
        <c:ser>
          <c:idx val="0"/>
          <c:order val="0"/>
          <c:tx>
            <c:strRef>
              <c:f>'Data &amp; Chart'!$B$60</c:f>
              <c:strCache>
                <c:ptCount val="1"/>
                <c:pt idx="0">
                  <c:v>Defect count</c:v>
                </c:pt>
              </c:strCache>
            </c:strRef>
          </c:tx>
          <c:spPr>
            <a:ln>
              <a:prstDash val="soli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'Data &amp; Chart'!$C$59:$F$59</c:f>
              <c:strCache>
                <c:ptCount val="4"/>
                <c:pt idx="0">
                  <c:v>Critical</c:v>
                </c:pt>
                <c:pt idx="1">
                  <c:v>High</c:v>
                </c:pt>
                <c:pt idx="2">
                  <c:v>Medium</c:v>
                </c:pt>
                <c:pt idx="3">
                  <c:v>Low</c:v>
                </c:pt>
              </c:strCache>
            </c:strRef>
          </c:cat>
          <c:val>
            <c:numRef>
              <c:f>'Data &amp; Chart'!$C$60:$F$60</c:f>
              <c:numCache>
                <c:formatCode>General</c:formatCode>
                <c:ptCount val="4"/>
                <c:pt idx="0">
                  <c:v>1</c:v>
                </c:pt>
                <c:pt idx="1">
                  <c:v>9</c:v>
                </c:pt>
                <c:pt idx="2">
                  <c:v>114</c:v>
                </c:pt>
                <c:pt idx="3">
                  <c:v>127</c:v>
                </c:pt>
              </c:numCache>
            </c:numRef>
          </c:val>
          <c:extLst>
            <c:ext xmlns:c16="http://schemas.microsoft.com/office/drawing/2014/chart" uri="{C3380CC4-5D6E-409C-BE32-E72D297353CC}">
              <c16:uniqueId val="{00000000-DCC1-4E14-9ED5-290A7B3622F0}"/>
            </c:ext>
          </c:extLst>
        </c:ser>
        <c:dLbls>
          <c:showLegendKey val="0"/>
          <c:showVal val="1"/>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en-IN"/>
                  <a:t>Defect Impact Category</a:t>
                </a:r>
              </a:p>
            </c:rich>
          </c:tx>
          <c:overlay val="0"/>
        </c:title>
        <c:numFmt formatCode="General" sourceLinked="1"/>
        <c:majorTickMark val="in"/>
        <c:minorTickMark val="none"/>
        <c:tickLblPos val="low"/>
        <c:crossAx val="100"/>
        <c:crosses val="autoZero"/>
        <c:auto val="0"/>
        <c:lblAlgn val="ctr"/>
        <c:lblOffset val="100"/>
        <c:noMultiLvlLbl val="0"/>
      </c:catAx>
      <c:valAx>
        <c:axId val="100"/>
        <c:scaling>
          <c:orientation val="minMax"/>
        </c:scaling>
        <c:delete val="0"/>
        <c:axPos val="l"/>
        <c:majorGridlines/>
        <c:title>
          <c:tx>
            <c:rich>
              <a:bodyPr/>
              <a:lstStyle/>
              <a:p>
                <a:pPr>
                  <a:defRPr/>
                </a:pPr>
                <a:r>
                  <a:rPr lang="en-IN"/>
                  <a:t>Defect Count</a:t>
                </a:r>
              </a:p>
            </c:rich>
          </c:tx>
          <c:overlay val="0"/>
        </c:title>
        <c:numFmt formatCode="General" sourceLinked="1"/>
        <c:majorTickMark val="in"/>
        <c:minorTickMark val="none"/>
        <c:tickLblPos val="low"/>
        <c:crossAx val="1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IN"/>
              <a:t>Severity/Impact Wise Defect Distribution</a:t>
            </a:r>
          </a:p>
        </c:rich>
      </c:tx>
      <c:overlay val="0"/>
    </c:title>
    <c:autoTitleDeleted val="0"/>
    <c:plotArea>
      <c:layout/>
      <c:barChart>
        <c:barDir val="col"/>
        <c:grouping val="clustered"/>
        <c:varyColors val="0"/>
        <c:ser>
          <c:idx val="0"/>
          <c:order val="0"/>
          <c:tx>
            <c:strRef>
              <c:f>'Data &amp; Chart'!$B$75</c:f>
              <c:strCache>
                <c:ptCount val="1"/>
                <c:pt idx="0">
                  <c:v>Defect count</c:v>
                </c:pt>
              </c:strCache>
            </c:strRef>
          </c:tx>
          <c:spPr>
            <a:ln>
              <a:prstDash val="solid"/>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'Data &amp; Chart'!$C$74:$D$74</c:f>
              <c:strCache>
                <c:ptCount val="2"/>
                <c:pt idx="0">
                  <c:v>A</c:v>
                </c:pt>
                <c:pt idx="1">
                  <c:v>AA</c:v>
                </c:pt>
              </c:strCache>
            </c:strRef>
          </c:cat>
          <c:val>
            <c:numRef>
              <c:f>'Data &amp; Chart'!$C$75:$D$75</c:f>
              <c:numCache>
                <c:formatCode>General</c:formatCode>
                <c:ptCount val="2"/>
                <c:pt idx="0">
                  <c:v>164</c:v>
                </c:pt>
                <c:pt idx="1">
                  <c:v>87</c:v>
                </c:pt>
              </c:numCache>
            </c:numRef>
          </c:val>
          <c:extLst>
            <c:ext xmlns:c16="http://schemas.microsoft.com/office/drawing/2014/chart" uri="{C3380CC4-5D6E-409C-BE32-E72D297353CC}">
              <c16:uniqueId val="{00000000-1E79-4115-B750-48712FE9DECE}"/>
            </c:ext>
          </c:extLst>
        </c:ser>
        <c:dLbls>
          <c:showLegendKey val="0"/>
          <c:showVal val="1"/>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en-IN"/>
                  <a:t>Conformance Level</a:t>
                </a:r>
              </a:p>
            </c:rich>
          </c:tx>
          <c:overlay val="0"/>
        </c:title>
        <c:numFmt formatCode="General" sourceLinked="1"/>
        <c:majorTickMark val="in"/>
        <c:minorTickMark val="none"/>
        <c:tickLblPos val="low"/>
        <c:crossAx val="100"/>
        <c:crosses val="autoZero"/>
        <c:auto val="0"/>
        <c:lblAlgn val="ctr"/>
        <c:lblOffset val="100"/>
        <c:noMultiLvlLbl val="0"/>
      </c:catAx>
      <c:valAx>
        <c:axId val="100"/>
        <c:scaling>
          <c:orientation val="minMax"/>
        </c:scaling>
        <c:delete val="0"/>
        <c:axPos val="l"/>
        <c:majorGridlines/>
        <c:title>
          <c:tx>
            <c:rich>
              <a:bodyPr/>
              <a:lstStyle/>
              <a:p>
                <a:pPr>
                  <a:defRPr/>
                </a:pPr>
                <a:r>
                  <a:rPr lang="en-IN"/>
                  <a:t>Defect Count</a:t>
                </a:r>
              </a:p>
            </c:rich>
          </c:tx>
          <c:overlay val="0"/>
        </c:title>
        <c:numFmt formatCode="General" sourceLinked="1"/>
        <c:majorTickMark val="in"/>
        <c:minorTickMark val="none"/>
        <c:tickLblPos val="low"/>
        <c:crossAx val="1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Severity/Impact Wise Defect Distribution</a:t>
            </a:r>
          </a:p>
        </c:rich>
      </c:tx>
      <c:overlay val="0"/>
    </c:title>
    <c:autoTitleDeleted val="0"/>
    <c:plotArea>
      <c:layout/>
      <c:pieChart>
        <c:varyColors val="1"/>
        <c:ser>
          <c:idx val="0"/>
          <c:order val="0"/>
          <c:tx>
            <c:strRef>
              <c:f>'Data &amp; Chart'!$B$90</c:f>
              <c:strCache>
                <c:ptCount val="1"/>
                <c:pt idx="0">
                  <c:v>Defect count</c:v>
                </c:pt>
              </c:strCache>
            </c:strRef>
          </c:tx>
          <c:spPr>
            <a:ln>
              <a:prstDash val="solid"/>
            </a:ln>
          </c:spPr>
          <c:dLbls>
            <c:spPr>
              <a:noFill/>
              <a:ln>
                <a:noFill/>
              </a:ln>
              <a:effectLst/>
            </c:spPr>
            <c:dLblPos val="outEnd"/>
            <c:showLegendKey val="0"/>
            <c:showVal val="0"/>
            <c:showCatName val="1"/>
            <c:showSerName val="0"/>
            <c:showPercent val="1"/>
            <c:showBubbleSize val="0"/>
            <c:showLeaderLines val="1"/>
            <c:extLst>
              <c:ext xmlns:c15="http://schemas.microsoft.com/office/drawing/2012/chart" uri="{CE6537A1-D6FC-4f65-9D91-7224C49458BB}"/>
            </c:extLst>
          </c:dLbls>
          <c:cat>
            <c:strRef>
              <c:f>'Data &amp; Chart'!$C$89:$I$89</c:f>
              <c:strCache>
                <c:ptCount val="7"/>
                <c:pt idx="0">
                  <c:v>Keyboard Navigation</c:v>
                </c:pt>
                <c:pt idx="1">
                  <c:v>Color Contrast</c:v>
                </c:pt>
                <c:pt idx="2">
                  <c:v>Color</c:v>
                </c:pt>
                <c:pt idx="3">
                  <c:v>Zoom</c:v>
                </c:pt>
                <c:pt idx="4">
                  <c:v>HTML Validator</c:v>
                </c:pt>
                <c:pt idx="5">
                  <c:v>Screen Reader</c:v>
                </c:pt>
                <c:pt idx="6">
                  <c:v>Other A11y</c:v>
                </c:pt>
              </c:strCache>
            </c:strRef>
          </c:cat>
          <c:val>
            <c:numRef>
              <c:f>'Data &amp; Chart'!$C$90:$I$90</c:f>
              <c:numCache>
                <c:formatCode>General</c:formatCode>
                <c:ptCount val="7"/>
                <c:pt idx="0">
                  <c:v>27</c:v>
                </c:pt>
                <c:pt idx="1">
                  <c:v>57</c:v>
                </c:pt>
                <c:pt idx="2">
                  <c:v>5</c:v>
                </c:pt>
                <c:pt idx="3">
                  <c:v>9</c:v>
                </c:pt>
                <c:pt idx="4">
                  <c:v>31</c:v>
                </c:pt>
                <c:pt idx="5">
                  <c:v>103</c:v>
                </c:pt>
                <c:pt idx="6">
                  <c:v>19</c:v>
                </c:pt>
              </c:numCache>
            </c:numRef>
          </c:val>
          <c:extLst>
            <c:ext xmlns:c16="http://schemas.microsoft.com/office/drawing/2014/chart" uri="{C3380CC4-5D6E-409C-BE32-E72D297353CC}">
              <c16:uniqueId val="{00000000-09B0-44B6-987A-0B52EC17E02B}"/>
            </c:ext>
          </c:extLst>
        </c:ser>
        <c:dLbls>
          <c:dLblPos val="outEnd"/>
          <c:showLegendKey val="0"/>
          <c:showVal val="0"/>
          <c:showCatName val="1"/>
          <c:showSerName val="0"/>
          <c:showPercent val="1"/>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Severity/Impact Wise Defect Distribution</a:t>
            </a:r>
          </a:p>
        </c:rich>
      </c:tx>
      <c:overlay val="0"/>
    </c:title>
    <c:autoTitleDeleted val="0"/>
    <c:plotArea>
      <c:layout>
        <c:manualLayout>
          <c:layoutTarget val="inner"/>
          <c:xMode val="edge"/>
          <c:yMode val="edge"/>
          <c:x val="0.23576076388888889"/>
          <c:y val="0.19669333333333333"/>
          <c:w val="0.43860954861111112"/>
          <c:h val="0.70177527777777782"/>
        </c:manualLayout>
      </c:layout>
      <c:pieChart>
        <c:varyColors val="1"/>
        <c:ser>
          <c:idx val="0"/>
          <c:order val="0"/>
          <c:tx>
            <c:strRef>
              <c:f>'Data &amp; Chart'!$B$105</c:f>
              <c:strCache>
                <c:ptCount val="1"/>
              </c:strCache>
            </c:strRef>
          </c:tx>
          <c:spPr>
            <a:ln>
              <a:prstDash val="solid"/>
            </a:ln>
          </c:spPr>
          <c:dLbls>
            <c:spPr>
              <a:noFill/>
              <a:ln>
                <a:noFill/>
              </a:ln>
              <a:effectLst/>
            </c:spPr>
            <c:dLblPos val="outEnd"/>
            <c:showLegendKey val="0"/>
            <c:showVal val="0"/>
            <c:showCatName val="1"/>
            <c:showSerName val="0"/>
            <c:showPercent val="1"/>
            <c:showBubbleSize val="0"/>
            <c:showLeaderLines val="1"/>
            <c:extLst>
              <c:ext xmlns:c15="http://schemas.microsoft.com/office/drawing/2012/chart" uri="{CE6537A1-D6FC-4f65-9D91-7224C49458BB}"/>
            </c:extLst>
          </c:dLbls>
          <c:cat>
            <c:strRef>
              <c:f>'Data &amp; Chart'!$C$104:$E$104</c:f>
              <c:strCache>
                <c:ptCount val="3"/>
                <c:pt idx="0">
                  <c:v>Fail</c:v>
                </c:pt>
                <c:pt idx="1">
                  <c:v>Pass</c:v>
                </c:pt>
                <c:pt idx="2">
                  <c:v>N/A</c:v>
                </c:pt>
              </c:strCache>
            </c:strRef>
          </c:cat>
          <c:val>
            <c:numRef>
              <c:f>'Data &amp; Chart'!$C$105:$E$105</c:f>
              <c:numCache>
                <c:formatCode>General</c:formatCode>
                <c:ptCount val="3"/>
                <c:pt idx="0">
                  <c:v>3</c:v>
                </c:pt>
                <c:pt idx="1">
                  <c:v>0</c:v>
                </c:pt>
                <c:pt idx="2">
                  <c:v>0</c:v>
                </c:pt>
              </c:numCache>
            </c:numRef>
          </c:val>
          <c:extLst>
            <c:ext xmlns:c16="http://schemas.microsoft.com/office/drawing/2014/chart" uri="{C3380CC4-5D6E-409C-BE32-E72D297353CC}">
              <c16:uniqueId val="{00000000-FD04-4F53-AEA2-F5B39ED5B012}"/>
            </c:ext>
          </c:extLst>
        </c:ser>
        <c:dLbls>
          <c:dLblPos val="outEnd"/>
          <c:showLegendKey val="0"/>
          <c:showVal val="0"/>
          <c:showCatName val="1"/>
          <c:showSerName val="0"/>
          <c:showPercent val="1"/>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6</xdr:col>
      <xdr:colOff>0</xdr:colOff>
      <xdr:row>12</xdr:row>
      <xdr:rowOff>0</xdr:rowOff>
    </xdr:from>
    <xdr:ext cx="9000000" cy="3240000"/>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7</xdr:col>
      <xdr:colOff>0</xdr:colOff>
      <xdr:row>55</xdr:row>
      <xdr:rowOff>0</xdr:rowOff>
    </xdr:from>
    <xdr:ext cx="5400000" cy="2700000"/>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7</xdr:col>
      <xdr:colOff>0</xdr:colOff>
      <xdr:row>70</xdr:row>
      <xdr:rowOff>0</xdr:rowOff>
    </xdr:from>
    <xdr:ext cx="5400000" cy="2700000"/>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10</xdr:col>
      <xdr:colOff>0</xdr:colOff>
      <xdr:row>85</xdr:row>
      <xdr:rowOff>0</xdr:rowOff>
    </xdr:from>
    <xdr:ext cx="5760000" cy="3600000"/>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7</xdr:col>
      <xdr:colOff>0</xdr:colOff>
      <xdr:row>106</xdr:row>
      <xdr:rowOff>0</xdr:rowOff>
    </xdr:from>
    <xdr:ext cx="5760000" cy="3600000"/>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mc:AlternateContent xmlns:mc="http://schemas.openxmlformats.org/markup-compatibility/2006">
    <mc:Choice xmlns:a14="http://schemas.microsoft.com/office/drawing/2010/main" Requires="a14">
      <xdr:twoCellAnchor editAs="oneCell">
        <xdr:from>
          <xdr:col>4</xdr:col>
          <xdr:colOff>601980</xdr:colOff>
          <xdr:row>2</xdr:row>
          <xdr:rowOff>0</xdr:rowOff>
        </xdr:from>
        <xdr:to>
          <xdr:col>6</xdr:col>
          <xdr:colOff>552450</xdr:colOff>
          <xdr:row>3</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xdr:row>
          <xdr:rowOff>213360</xdr:rowOff>
        </xdr:from>
        <xdr:to>
          <xdr:col>15</xdr:col>
          <xdr:colOff>0</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365760</xdr:colOff>
          <xdr:row>2</xdr:row>
          <xdr:rowOff>0</xdr:rowOff>
        </xdr:from>
        <xdr:to>
          <xdr:col>9</xdr:col>
          <xdr:colOff>361950</xdr:colOff>
          <xdr:row>3</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205740</xdr:colOff>
          <xdr:row>2</xdr:row>
          <xdr:rowOff>0</xdr:rowOff>
        </xdr:from>
        <xdr:to>
          <xdr:col>12</xdr:col>
          <xdr:colOff>152400</xdr:colOff>
          <xdr:row>4</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Mail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WCAG_Counts" displayName="WCAG_Counts" ref="A4:C54" headerRowDxfId="12" totalsRowDxfId="9" headerRowBorderDxfId="11" tableBorderDxfId="10">
  <autoFilter ref="A4:C54" xr:uid="{00000000-0009-0000-0100-000001000000}">
    <filterColumn colId="2">
      <customFilters>
        <customFilter operator="notEqual" val="0"/>
      </customFilters>
    </filterColumn>
  </autoFilter>
  <tableColumns count="3">
    <tableColumn id="5" xr3:uid="{DE697A29-9474-44BA-ADF9-7BD146FF53AA}" name="WCAG" dataDxfId="8" dataCellStyle="cell_style"/>
    <tableColumn id="2" xr3:uid="{00000000-0010-0000-0000-000002000000}" name="WCAG SC" dataDxfId="7"/>
    <tableColumn id="3" xr3:uid="{00000000-0010-0000-0000-000003000000}" name="No of occurence" dataDxfId="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DefectCountTable" displayName="DefectCountTable" ref="B59:F60">
  <autoFilter ref="B59:F60" xr:uid="{00000000-0009-0000-0100-000002000000}"/>
  <tableColumns count="5">
    <tableColumn id="2" xr3:uid="{00000000-0010-0000-0100-000002000000}" name="Column1"/>
    <tableColumn id="3" xr3:uid="{00000000-0010-0000-0100-000003000000}" name="Critical"/>
    <tableColumn id="4" xr3:uid="{00000000-0010-0000-0100-000004000000}" name="High"/>
    <tableColumn id="5" xr3:uid="{00000000-0010-0000-0100-000005000000}" name="Medium">
      <calculatedColumnFormula>SUM('Execution Summary'!R4:R185 )</calculatedColumnFormula>
    </tableColumn>
    <tableColumn id="6" xr3:uid="{00000000-0010-0000-0100-000006000000}" name="Low"/>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ConformanceCountTable" displayName="ConformanceCountTable" ref="B74:D75">
  <autoFilter ref="B74:D75" xr:uid="{00000000-0009-0000-0100-000003000000}"/>
  <tableColumns count="3">
    <tableColumn id="2" xr3:uid="{00000000-0010-0000-0200-000002000000}" name="Conformance Level"/>
    <tableColumn id="3" xr3:uid="{00000000-0010-0000-0200-000003000000}" name="A"/>
    <tableColumn id="4" xr3:uid="{00000000-0010-0000-0200-000004000000}" name="AA"/>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ssuetypeCountTable" displayName="IssuetypeCountTable" ref="B89:I90">
  <autoFilter ref="B89:I90" xr:uid="{00000000-0009-0000-0100-000004000000}">
    <filterColumn colId="0">
      <filters>
        <filter val="Defect count"/>
      </filters>
    </filterColumn>
  </autoFilter>
  <tableColumns count="8">
    <tableColumn id="2" xr3:uid="{00000000-0010-0000-0300-000002000000}" name="Column1"/>
    <tableColumn id="3" xr3:uid="{00000000-0010-0000-0300-000003000000}" name="Keyboard Navigation"/>
    <tableColumn id="4" xr3:uid="{00000000-0010-0000-0300-000004000000}" name="Color Contrast"/>
    <tableColumn id="5" xr3:uid="{00000000-0010-0000-0300-000005000000}" name="Color"/>
    <tableColumn id="6" xr3:uid="{00000000-0010-0000-0300-000006000000}" name="Zoom"/>
    <tableColumn id="7" xr3:uid="{00000000-0010-0000-0300-000007000000}" name="HTML Validator"/>
    <tableColumn id="8" xr3:uid="{00000000-0010-0000-0300-000008000000}" name="Screen Reader"/>
    <tableColumn id="9" xr3:uid="{00000000-0010-0000-0300-000009000000}" name="Other A11y"/>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Status_table" displayName="Status_table" ref="B111:C161" headerRowDxfId="5" totalsRowDxfId="2" headerRowBorderDxfId="4" tableBorderDxfId="3">
  <autoFilter ref="B111:C161" xr:uid="{00000000-0009-0000-0100-000005000000}"/>
  <tableColumns count="2">
    <tableColumn id="2" xr3:uid="{00000000-0010-0000-0400-000002000000}" name="WCAG SC" dataDxfId="1"/>
    <tableColumn id="3" xr3:uid="{00000000-0010-0000-0400-000003000000}" name="Result" dataDxfId="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Status_counts_table" displayName="Status_counts_table" ref="B104:E105">
  <autoFilter ref="B104:E105" xr:uid="{00000000-0009-0000-0100-000006000000}"/>
  <tableColumns count="4">
    <tableColumn id="2" xr3:uid="{00000000-0010-0000-0500-000002000000}" name="Result"/>
    <tableColumn id="3" xr3:uid="{00000000-0010-0000-0500-000003000000}" name="Fail"/>
    <tableColumn id="4" xr3:uid="{00000000-0010-0000-0500-000004000000}" name="Pass"/>
    <tableColumn id="5" xr3:uid="{00000000-0010-0000-0500-000005000000}" name="N/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13" Type="http://schemas.openxmlformats.org/officeDocument/2006/relationships/table" Target="../tables/table6.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4.xml"/><Relationship Id="rId5" Type="http://schemas.openxmlformats.org/officeDocument/2006/relationships/ctrlProp" Target="../ctrlProps/ctrlProp2.xml"/><Relationship Id="rId10" Type="http://schemas.openxmlformats.org/officeDocument/2006/relationships/table" Target="../tables/table3.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C31"/>
  <sheetViews>
    <sheetView topLeftCell="A9" workbookViewId="0">
      <selection activeCell="A21" sqref="A21"/>
    </sheetView>
  </sheetViews>
  <sheetFormatPr defaultRowHeight="14.4"/>
  <cols>
    <col min="2" max="2" width="74.33203125" bestFit="1" customWidth="1"/>
    <col min="3" max="3" width="57.44140625" customWidth="1"/>
  </cols>
  <sheetData>
    <row r="1" spans="2:3" ht="15.75" customHeight="1" thickBot="1"/>
    <row r="2" spans="2:3">
      <c r="B2" s="35" t="s">
        <v>0</v>
      </c>
    </row>
    <row r="3" spans="2:3" ht="15.75" customHeight="1" thickBot="1">
      <c r="B3" s="34"/>
    </row>
    <row r="4" spans="2:3" ht="15.75" customHeight="1" thickBot="1"/>
    <row r="5" spans="2:3" ht="15.75" customHeight="1" thickBot="1">
      <c r="B5" s="28" t="s">
        <v>1</v>
      </c>
      <c r="C5" s="29"/>
    </row>
    <row r="6" spans="2:3" ht="14.4" customHeight="1">
      <c r="B6" s="36" t="s">
        <v>2</v>
      </c>
      <c r="C6" s="32" t="s">
        <v>3</v>
      </c>
    </row>
    <row r="7" spans="2:3">
      <c r="B7" s="37"/>
      <c r="C7" s="33"/>
    </row>
    <row r="8" spans="2:3">
      <c r="B8" s="37"/>
      <c r="C8" s="33"/>
    </row>
    <row r="9" spans="2:3">
      <c r="B9" s="37"/>
      <c r="C9" s="33"/>
    </row>
    <row r="10" spans="2:3">
      <c r="B10" s="37"/>
      <c r="C10" s="33"/>
    </row>
    <row r="11" spans="2:3">
      <c r="B11" s="37"/>
      <c r="C11" s="33"/>
    </row>
    <row r="12" spans="2:3" ht="30.9" customHeight="1" thickBot="1">
      <c r="B12" s="38"/>
      <c r="C12" s="34"/>
    </row>
    <row r="14" spans="2:3" ht="15.75" customHeight="1" thickBot="1"/>
    <row r="15" spans="2:3">
      <c r="B15" s="39" t="s">
        <v>4</v>
      </c>
      <c r="C15" s="30"/>
    </row>
    <row r="16" spans="2:3">
      <c r="B16" s="40"/>
      <c r="C16" s="31"/>
    </row>
    <row r="17" spans="2:2">
      <c r="B17" s="1" t="s">
        <v>5</v>
      </c>
    </row>
    <row r="18" spans="2:2">
      <c r="B18" s="2" t="s">
        <v>6</v>
      </c>
    </row>
    <row r="19" spans="2:2">
      <c r="B19" s="2" t="s">
        <v>7</v>
      </c>
    </row>
    <row r="20" spans="2:2">
      <c r="B20" s="2" t="s">
        <v>8</v>
      </c>
    </row>
    <row r="21" spans="2:2">
      <c r="B21" s="2" t="s">
        <v>9</v>
      </c>
    </row>
    <row r="22" spans="2:2">
      <c r="B22" s="2" t="s">
        <v>10</v>
      </c>
    </row>
    <row r="23" spans="2:2">
      <c r="B23" s="2" t="s">
        <v>11</v>
      </c>
    </row>
    <row r="24" spans="2:2">
      <c r="B24" s="2" t="s">
        <v>12</v>
      </c>
    </row>
    <row r="25" spans="2:2">
      <c r="B25" s="2" t="s">
        <v>13</v>
      </c>
    </row>
    <row r="26" spans="2:2">
      <c r="B26" s="2" t="s">
        <v>14</v>
      </c>
    </row>
    <row r="27" spans="2:2">
      <c r="B27" s="2" t="s">
        <v>15</v>
      </c>
    </row>
    <row r="28" spans="2:2">
      <c r="B28" s="2" t="s">
        <v>16</v>
      </c>
    </row>
    <row r="29" spans="2:2">
      <c r="B29" s="2" t="s">
        <v>17</v>
      </c>
    </row>
    <row r="30" spans="2:2">
      <c r="B30" s="2" t="s">
        <v>18</v>
      </c>
    </row>
    <row r="31" spans="2:2" ht="15.75" customHeight="1" thickBot="1">
      <c r="B31" s="3" t="s">
        <v>19</v>
      </c>
    </row>
  </sheetData>
  <mergeCells count="6">
    <mergeCell ref="B5:C5"/>
    <mergeCell ref="C15:C16"/>
    <mergeCell ref="C6:C12"/>
    <mergeCell ref="B2:B3"/>
    <mergeCell ref="B6:B12"/>
    <mergeCell ref="B15:B16"/>
  </mergeCell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O161"/>
  <sheetViews>
    <sheetView tabSelected="1" topLeftCell="B1" workbookViewId="0">
      <selection activeCell="B56" sqref="B56"/>
    </sheetView>
  </sheetViews>
  <sheetFormatPr defaultRowHeight="14.4"/>
  <cols>
    <col min="1" max="1" width="0" hidden="1" customWidth="1"/>
    <col min="2" max="2" width="41.77734375" customWidth="1"/>
    <col min="3" max="3" width="20" customWidth="1"/>
  </cols>
  <sheetData>
    <row r="2" spans="1:15" ht="17.399999999999999">
      <c r="B2" s="4" t="s">
        <v>61</v>
      </c>
    </row>
    <row r="3" spans="1:15">
      <c r="F3" s="41"/>
      <c r="G3" s="41"/>
      <c r="H3" s="41"/>
      <c r="I3" s="41"/>
      <c r="J3" s="41"/>
      <c r="K3" s="41"/>
      <c r="L3" s="41"/>
      <c r="M3" s="41"/>
      <c r="N3" s="41"/>
      <c r="O3" s="41"/>
    </row>
    <row r="4" spans="1:15">
      <c r="A4" s="6" t="s">
        <v>121</v>
      </c>
      <c r="B4" s="14" t="s">
        <v>145</v>
      </c>
      <c r="C4" s="13" t="s">
        <v>146</v>
      </c>
      <c r="F4" s="41"/>
      <c r="G4" s="41"/>
      <c r="H4" s="41"/>
      <c r="I4" s="41"/>
      <c r="J4" s="41"/>
      <c r="K4" s="41"/>
      <c r="L4" s="41"/>
      <c r="M4" s="41"/>
      <c r="N4" s="41"/>
      <c r="O4" s="41"/>
    </row>
    <row r="5" spans="1:15" hidden="1">
      <c r="A5" s="11" t="s">
        <v>34</v>
      </c>
      <c r="B5" s="9" t="s">
        <v>62</v>
      </c>
      <c r="C5" s="8">
        <v>0</v>
      </c>
    </row>
    <row r="6" spans="1:15" hidden="1">
      <c r="A6" s="11" t="s">
        <v>122</v>
      </c>
      <c r="B6" s="9" t="s">
        <v>96</v>
      </c>
      <c r="C6" s="8">
        <v>0</v>
      </c>
    </row>
    <row r="7" spans="1:15" hidden="1">
      <c r="A7" s="11" t="s">
        <v>123</v>
      </c>
      <c r="B7" s="9" t="s">
        <v>98</v>
      </c>
      <c r="C7" s="8">
        <v>0</v>
      </c>
    </row>
    <row r="8" spans="1:15" hidden="1">
      <c r="A8" s="11" t="s">
        <v>124</v>
      </c>
      <c r="B8" s="9" t="s">
        <v>99</v>
      </c>
      <c r="C8" s="8">
        <v>0</v>
      </c>
    </row>
    <row r="9" spans="1:15" hidden="1">
      <c r="A9" s="11" t="s">
        <v>125</v>
      </c>
      <c r="B9" s="9" t="s">
        <v>100</v>
      </c>
      <c r="C9" s="8">
        <v>0</v>
      </c>
    </row>
    <row r="10" spans="1:15" hidden="1">
      <c r="A10" s="11" t="s">
        <v>126</v>
      </c>
      <c r="B10" s="9" t="s">
        <v>101</v>
      </c>
      <c r="C10" s="8">
        <v>0</v>
      </c>
    </row>
    <row r="11" spans="1:15" hidden="1">
      <c r="A11" s="11" t="s">
        <v>36</v>
      </c>
      <c r="B11" s="9" t="s">
        <v>63</v>
      </c>
      <c r="C11" s="8">
        <v>0</v>
      </c>
    </row>
    <row r="12" spans="1:15" hidden="1">
      <c r="A12" s="11" t="s">
        <v>45</v>
      </c>
      <c r="B12" s="9" t="s">
        <v>64</v>
      </c>
      <c r="C12" s="8">
        <v>0</v>
      </c>
    </row>
    <row r="13" spans="1:15" hidden="1">
      <c r="A13" s="11" t="s">
        <v>127</v>
      </c>
      <c r="B13" s="9" t="s">
        <v>102</v>
      </c>
      <c r="C13" s="8">
        <v>0</v>
      </c>
    </row>
    <row r="14" spans="1:15" hidden="1">
      <c r="A14" s="11" t="s">
        <v>54</v>
      </c>
      <c r="B14" s="9" t="s">
        <v>65</v>
      </c>
      <c r="C14" s="8">
        <v>0</v>
      </c>
    </row>
    <row r="15" spans="1:15" hidden="1">
      <c r="A15" s="11" t="s">
        <v>53</v>
      </c>
      <c r="B15" s="9" t="s">
        <v>66</v>
      </c>
      <c r="C15" s="8">
        <v>0</v>
      </c>
    </row>
    <row r="16" spans="1:15" hidden="1">
      <c r="A16" s="11" t="s">
        <v>37</v>
      </c>
      <c r="B16" s="9" t="s">
        <v>67</v>
      </c>
      <c r="C16" s="8">
        <v>0</v>
      </c>
    </row>
    <row r="17" spans="1:3" hidden="1">
      <c r="A17" s="11" t="s">
        <v>128</v>
      </c>
      <c r="B17" s="9" t="s">
        <v>103</v>
      </c>
      <c r="C17" s="8">
        <v>0</v>
      </c>
    </row>
    <row r="18" spans="1:3" hidden="1">
      <c r="A18" s="11" t="s">
        <v>32</v>
      </c>
      <c r="B18" s="9" t="s">
        <v>68</v>
      </c>
      <c r="C18" s="8">
        <v>0</v>
      </c>
    </row>
    <row r="19" spans="1:3" hidden="1">
      <c r="A19" s="11" t="s">
        <v>43</v>
      </c>
      <c r="B19" s="9" t="s">
        <v>69</v>
      </c>
      <c r="C19" s="8">
        <v>0</v>
      </c>
    </row>
    <row r="20" spans="1:3" hidden="1">
      <c r="A20" s="11" t="s">
        <v>55</v>
      </c>
      <c r="B20" s="9" t="s">
        <v>70</v>
      </c>
      <c r="C20" s="8">
        <v>0</v>
      </c>
    </row>
    <row r="21" spans="1:3">
      <c r="A21" s="11" t="s">
        <v>48</v>
      </c>
      <c r="B21" s="9" t="s">
        <v>71</v>
      </c>
      <c r="C21" s="8">
        <v>1</v>
      </c>
    </row>
    <row r="22" spans="1:3" hidden="1">
      <c r="A22" s="11" t="s">
        <v>40</v>
      </c>
      <c r="B22" s="9" t="s">
        <v>72</v>
      </c>
      <c r="C22" s="8">
        <v>0</v>
      </c>
    </row>
    <row r="23" spans="1:3" hidden="1">
      <c r="A23" s="11" t="s">
        <v>52</v>
      </c>
      <c r="B23" s="9" t="s">
        <v>73</v>
      </c>
      <c r="C23" s="8">
        <v>0</v>
      </c>
    </row>
    <row r="24" spans="1:3" hidden="1">
      <c r="A24" s="11" t="s">
        <v>129</v>
      </c>
      <c r="B24" s="9" t="s">
        <v>104</v>
      </c>
      <c r="C24" s="8">
        <v>0</v>
      </c>
    </row>
    <row r="25" spans="1:3" hidden="1">
      <c r="A25" s="11" t="s">
        <v>49</v>
      </c>
      <c r="B25" s="9" t="s">
        <v>74</v>
      </c>
      <c r="C25" s="8">
        <v>0</v>
      </c>
    </row>
    <row r="26" spans="1:3" hidden="1">
      <c r="A26" s="11" t="s">
        <v>50</v>
      </c>
      <c r="B26" s="9" t="s">
        <v>75</v>
      </c>
      <c r="C26" s="8">
        <v>0</v>
      </c>
    </row>
    <row r="27" spans="1:3" hidden="1">
      <c r="A27" s="11" t="s">
        <v>130</v>
      </c>
      <c r="B27" s="9" t="s">
        <v>105</v>
      </c>
      <c r="C27" s="8">
        <v>0</v>
      </c>
    </row>
    <row r="28" spans="1:3" hidden="1">
      <c r="A28" s="11" t="s">
        <v>59</v>
      </c>
      <c r="B28" s="9" t="s">
        <v>76</v>
      </c>
      <c r="C28" s="8">
        <v>0</v>
      </c>
    </row>
    <row r="29" spans="1:3" hidden="1">
      <c r="A29" s="11" t="s">
        <v>131</v>
      </c>
      <c r="B29" s="9" t="s">
        <v>106</v>
      </c>
      <c r="C29" s="8">
        <v>0</v>
      </c>
    </row>
    <row r="30" spans="1:3" hidden="1">
      <c r="A30" s="11" t="s">
        <v>132</v>
      </c>
      <c r="B30" s="9" t="s">
        <v>107</v>
      </c>
      <c r="C30" s="8">
        <v>0</v>
      </c>
    </row>
    <row r="31" spans="1:3" hidden="1">
      <c r="A31" s="11" t="s">
        <v>133</v>
      </c>
      <c r="B31" s="9" t="s">
        <v>108</v>
      </c>
      <c r="C31" s="8">
        <v>0</v>
      </c>
    </row>
    <row r="32" spans="1:3" hidden="1">
      <c r="A32" s="11" t="s">
        <v>38</v>
      </c>
      <c r="B32" s="9" t="s">
        <v>77</v>
      </c>
      <c r="C32" s="8">
        <v>0</v>
      </c>
    </row>
    <row r="33" spans="1:3">
      <c r="A33" s="11" t="s">
        <v>47</v>
      </c>
      <c r="B33" s="9" t="s">
        <v>78</v>
      </c>
      <c r="C33" s="8">
        <v>1</v>
      </c>
    </row>
    <row r="34" spans="1:3" hidden="1">
      <c r="A34" s="11" t="s">
        <v>42</v>
      </c>
      <c r="B34" s="9" t="s">
        <v>79</v>
      </c>
      <c r="C34" s="8">
        <v>0</v>
      </c>
    </row>
    <row r="35" spans="1:3" hidden="1">
      <c r="A35" s="11" t="s">
        <v>134</v>
      </c>
      <c r="B35" s="9" t="s">
        <v>109</v>
      </c>
      <c r="C35" s="8">
        <v>0</v>
      </c>
    </row>
    <row r="36" spans="1:3" hidden="1">
      <c r="A36" s="11" t="s">
        <v>51</v>
      </c>
      <c r="B36" s="9" t="s">
        <v>80</v>
      </c>
      <c r="C36" s="8">
        <v>0</v>
      </c>
    </row>
    <row r="37" spans="1:3" hidden="1">
      <c r="A37" s="11" t="s">
        <v>58</v>
      </c>
      <c r="B37" s="9" t="s">
        <v>81</v>
      </c>
      <c r="C37" s="8">
        <v>0</v>
      </c>
    </row>
    <row r="38" spans="1:3" hidden="1">
      <c r="A38" s="11" t="s">
        <v>135</v>
      </c>
      <c r="B38" s="9" t="s">
        <v>110</v>
      </c>
      <c r="C38" s="8">
        <v>0</v>
      </c>
    </row>
    <row r="39" spans="1:3" hidden="1">
      <c r="A39" s="11" t="s">
        <v>136</v>
      </c>
      <c r="B39" s="9" t="s">
        <v>111</v>
      </c>
      <c r="C39" s="8">
        <v>0</v>
      </c>
    </row>
    <row r="40" spans="1:3" hidden="1">
      <c r="A40" s="11" t="s">
        <v>137</v>
      </c>
      <c r="B40" s="9" t="s">
        <v>112</v>
      </c>
      <c r="C40" s="8">
        <v>0</v>
      </c>
    </row>
    <row r="41" spans="1:3" hidden="1">
      <c r="A41" s="11" t="s">
        <v>138</v>
      </c>
      <c r="B41" s="9" t="s">
        <v>113</v>
      </c>
      <c r="C41" s="8">
        <v>0</v>
      </c>
    </row>
    <row r="42" spans="1:3" hidden="1">
      <c r="A42" s="11" t="s">
        <v>56</v>
      </c>
      <c r="B42" s="9" t="s">
        <v>82</v>
      </c>
      <c r="C42" s="8">
        <v>0</v>
      </c>
    </row>
    <row r="43" spans="1:3" hidden="1">
      <c r="A43" s="11" t="s">
        <v>139</v>
      </c>
      <c r="B43" s="9" t="s">
        <v>114</v>
      </c>
      <c r="C43" s="8">
        <v>0</v>
      </c>
    </row>
    <row r="44" spans="1:3" hidden="1">
      <c r="A44" s="11" t="s">
        <v>140</v>
      </c>
      <c r="B44" s="9" t="s">
        <v>115</v>
      </c>
      <c r="C44" s="8">
        <v>0</v>
      </c>
    </row>
    <row r="45" spans="1:3" hidden="1">
      <c r="A45" s="11" t="s">
        <v>60</v>
      </c>
      <c r="B45" s="9" t="s">
        <v>83</v>
      </c>
      <c r="C45" s="8">
        <v>0</v>
      </c>
    </row>
    <row r="46" spans="1:3" hidden="1">
      <c r="A46" s="11" t="s">
        <v>141</v>
      </c>
      <c r="B46" s="9" t="s">
        <v>116</v>
      </c>
      <c r="C46" s="8">
        <v>0</v>
      </c>
    </row>
    <row r="47" spans="1:3" hidden="1">
      <c r="A47" s="11" t="s">
        <v>142</v>
      </c>
      <c r="B47" s="9" t="s">
        <v>117</v>
      </c>
      <c r="C47" s="8">
        <v>0</v>
      </c>
    </row>
    <row r="48" spans="1:3" hidden="1">
      <c r="A48" s="11" t="s">
        <v>143</v>
      </c>
      <c r="B48" s="9" t="s">
        <v>118</v>
      </c>
      <c r="C48" s="8">
        <v>0</v>
      </c>
    </row>
    <row r="49" spans="1:6" hidden="1">
      <c r="A49" s="11" t="s">
        <v>39</v>
      </c>
      <c r="B49" s="9" t="s">
        <v>84</v>
      </c>
      <c r="C49" s="8">
        <v>0</v>
      </c>
    </row>
    <row r="50" spans="1:6" hidden="1">
      <c r="A50" s="11" t="s">
        <v>57</v>
      </c>
      <c r="B50" s="9" t="s">
        <v>85</v>
      </c>
      <c r="C50" s="8">
        <v>0</v>
      </c>
    </row>
    <row r="51" spans="1:6" hidden="1">
      <c r="A51" s="11" t="s">
        <v>144</v>
      </c>
      <c r="B51" s="9" t="s">
        <v>119</v>
      </c>
      <c r="C51" s="8">
        <v>0</v>
      </c>
    </row>
    <row r="52" spans="1:6" hidden="1">
      <c r="A52" s="11" t="s">
        <v>44</v>
      </c>
      <c r="B52" s="9" t="s">
        <v>86</v>
      </c>
      <c r="C52" s="8">
        <v>0</v>
      </c>
    </row>
    <row r="53" spans="1:6">
      <c r="A53" s="11" t="s">
        <v>46</v>
      </c>
      <c r="B53" s="9" t="s">
        <v>87</v>
      </c>
      <c r="C53" s="8">
        <v>1</v>
      </c>
    </row>
    <row r="54" spans="1:6" hidden="1">
      <c r="A54" s="12" t="s">
        <v>41</v>
      </c>
      <c r="B54" s="10" t="s">
        <v>88</v>
      </c>
      <c r="C54" s="8">
        <v>0</v>
      </c>
    </row>
    <row r="57" spans="1:6" ht="17.399999999999999">
      <c r="B57" s="4" t="s">
        <v>89</v>
      </c>
    </row>
    <row r="59" spans="1:6">
      <c r="B59" s="5" t="s">
        <v>120</v>
      </c>
      <c r="C59" s="5" t="s">
        <v>27</v>
      </c>
      <c r="D59" s="5" t="s">
        <v>28</v>
      </c>
      <c r="E59" s="5" t="s">
        <v>29</v>
      </c>
      <c r="F59" s="5" t="s">
        <v>30</v>
      </c>
    </row>
    <row r="60" spans="1:6">
      <c r="B60" s="5" t="s">
        <v>90</v>
      </c>
      <c r="C60" s="5">
        <f>SUM('Execution Summary'!P4:P185 )</f>
        <v>1</v>
      </c>
      <c r="D60" s="5">
        <f>SUM('Execution Summary'!Q4:Q185 )</f>
        <v>9</v>
      </c>
      <c r="E60" s="5">
        <f>SUM('Execution Summary'!R4:R185 )</f>
        <v>114</v>
      </c>
      <c r="F60" s="5">
        <f>SUM('Execution Summary'!S4:S185 )</f>
        <v>127</v>
      </c>
    </row>
    <row r="72" spans="2:4" ht="17.399999999999999">
      <c r="B72" s="4" t="s">
        <v>91</v>
      </c>
    </row>
    <row r="74" spans="2:4">
      <c r="B74" s="5" t="s">
        <v>31</v>
      </c>
      <c r="C74" s="5" t="s">
        <v>35</v>
      </c>
      <c r="D74" s="5" t="s">
        <v>33</v>
      </c>
    </row>
    <row r="75" spans="2:4">
      <c r="B75" s="5" t="s">
        <v>90</v>
      </c>
      <c r="C75" s="5">
        <f>SUM('Execution Summary'!G4:G185 )</f>
        <v>164</v>
      </c>
      <c r="D75" s="5">
        <f>SUM('Execution Summary'!H4:H185 )</f>
        <v>87</v>
      </c>
    </row>
    <row r="87" spans="2:9" ht="17.399999999999999">
      <c r="B87" s="4" t="s">
        <v>89</v>
      </c>
    </row>
    <row r="89" spans="2:9">
      <c r="B89" s="5" t="s">
        <v>120</v>
      </c>
      <c r="C89" s="5" t="s">
        <v>20</v>
      </c>
      <c r="D89" s="5" t="s">
        <v>21</v>
      </c>
      <c r="E89" s="5" t="s">
        <v>22</v>
      </c>
      <c r="F89" s="5" t="s">
        <v>23</v>
      </c>
      <c r="G89" s="5" t="s">
        <v>24</v>
      </c>
      <c r="H89" s="5" t="s">
        <v>25</v>
      </c>
      <c r="I89" s="5" t="s">
        <v>26</v>
      </c>
    </row>
    <row r="90" spans="2:9">
      <c r="B90" s="5" t="s">
        <v>90</v>
      </c>
      <c r="C90" s="5">
        <f>SUM('Execution Summary'!I4:I185 )</f>
        <v>27</v>
      </c>
      <c r="D90" s="5">
        <f>SUM('Execution Summary'!J4:J185 )</f>
        <v>57</v>
      </c>
      <c r="E90" s="5">
        <f>SUM('Execution Summary'!K4:K185 )</f>
        <v>5</v>
      </c>
      <c r="F90" s="5">
        <f>SUM('Execution Summary'!L4:L185 )</f>
        <v>9</v>
      </c>
      <c r="G90" s="5">
        <f>SUM('Execution Summary'!M4:M185 )</f>
        <v>31</v>
      </c>
      <c r="H90" s="5">
        <f>SUM('Execution Summary'!N4:N185 )</f>
        <v>103</v>
      </c>
      <c r="I90" s="5">
        <f>SUM('Execution Summary'!O4:O185 )</f>
        <v>19</v>
      </c>
    </row>
    <row r="102" spans="2:5" ht="17.399999999999999">
      <c r="B102" s="4" t="s">
        <v>91</v>
      </c>
    </row>
    <row r="104" spans="2:5">
      <c r="B104" s="5" t="s">
        <v>92</v>
      </c>
      <c r="C104" s="5" t="s">
        <v>93</v>
      </c>
      <c r="D104" s="5" t="s">
        <v>94</v>
      </c>
      <c r="E104" s="5" t="s">
        <v>95</v>
      </c>
    </row>
    <row r="105" spans="2:5">
      <c r="B105" s="5"/>
      <c r="C105" s="5">
        <f>COUNTIF(C112:C161, "Fail")</f>
        <v>3</v>
      </c>
      <c r="D105" s="5">
        <f>COUNTIF(C112:C161, "Pass")</f>
        <v>0</v>
      </c>
      <c r="E105" s="5">
        <f>COUNTIF(C112:C161, "N/A")</f>
        <v>0</v>
      </c>
    </row>
    <row r="109" spans="2:5" ht="17.399999999999999">
      <c r="B109" s="4" t="s">
        <v>89</v>
      </c>
    </row>
    <row r="111" spans="2:5">
      <c r="B111" s="14" t="s">
        <v>145</v>
      </c>
      <c r="C111" s="7" t="s">
        <v>92</v>
      </c>
    </row>
    <row r="112" spans="2:5">
      <c r="B112" s="15" t="s">
        <v>62</v>
      </c>
      <c r="C112" s="8" t="s">
        <v>97</v>
      </c>
    </row>
    <row r="113" spans="2:3">
      <c r="B113" s="15" t="s">
        <v>96</v>
      </c>
      <c r="C113" s="8" t="s">
        <v>97</v>
      </c>
    </row>
    <row r="114" spans="2:3">
      <c r="B114" s="15" t="s">
        <v>98</v>
      </c>
      <c r="C114" s="8" t="s">
        <v>97</v>
      </c>
    </row>
    <row r="115" spans="2:3">
      <c r="B115" s="15" t="s">
        <v>99</v>
      </c>
      <c r="C115" s="8" t="s">
        <v>97</v>
      </c>
    </row>
    <row r="116" spans="2:3">
      <c r="B116" s="15" t="s">
        <v>100</v>
      </c>
      <c r="C116" s="8" t="s">
        <v>97</v>
      </c>
    </row>
    <row r="117" spans="2:3">
      <c r="B117" s="15" t="s">
        <v>101</v>
      </c>
      <c r="C117" s="8" t="s">
        <v>97</v>
      </c>
    </row>
    <row r="118" spans="2:3">
      <c r="B118" s="15" t="s">
        <v>63</v>
      </c>
      <c r="C118" s="8" t="s">
        <v>97</v>
      </c>
    </row>
    <row r="119" spans="2:3">
      <c r="B119" s="15" t="s">
        <v>64</v>
      </c>
      <c r="C119" s="8" t="s">
        <v>97</v>
      </c>
    </row>
    <row r="120" spans="2:3">
      <c r="B120" s="15" t="s">
        <v>102</v>
      </c>
      <c r="C120" s="8" t="s">
        <v>97</v>
      </c>
    </row>
    <row r="121" spans="2:3">
      <c r="B121" s="15" t="s">
        <v>65</v>
      </c>
      <c r="C121" s="8" t="s">
        <v>97</v>
      </c>
    </row>
    <row r="122" spans="2:3">
      <c r="B122" s="15" t="s">
        <v>66</v>
      </c>
      <c r="C122" s="8" t="s">
        <v>97</v>
      </c>
    </row>
    <row r="123" spans="2:3">
      <c r="B123" s="15" t="s">
        <v>67</v>
      </c>
      <c r="C123" s="8" t="s">
        <v>97</v>
      </c>
    </row>
    <row r="124" spans="2:3">
      <c r="B124" s="15" t="s">
        <v>103</v>
      </c>
      <c r="C124" s="8" t="s">
        <v>97</v>
      </c>
    </row>
    <row r="125" spans="2:3">
      <c r="B125" s="15" t="s">
        <v>68</v>
      </c>
      <c r="C125" s="8" t="s">
        <v>97</v>
      </c>
    </row>
    <row r="126" spans="2:3">
      <c r="B126" s="15" t="s">
        <v>69</v>
      </c>
      <c r="C126" s="8" t="s">
        <v>97</v>
      </c>
    </row>
    <row r="127" spans="2:3">
      <c r="B127" s="15" t="s">
        <v>70</v>
      </c>
      <c r="C127" s="8" t="s">
        <v>97</v>
      </c>
    </row>
    <row r="128" spans="2:3">
      <c r="B128" s="15" t="s">
        <v>71</v>
      </c>
      <c r="C128" s="8" t="s">
        <v>93</v>
      </c>
    </row>
    <row r="129" spans="2:3">
      <c r="B129" s="15" t="s">
        <v>72</v>
      </c>
      <c r="C129" s="8" t="s">
        <v>97</v>
      </c>
    </row>
    <row r="130" spans="2:3">
      <c r="B130" s="15" t="s">
        <v>73</v>
      </c>
      <c r="C130" s="8" t="s">
        <v>97</v>
      </c>
    </row>
    <row r="131" spans="2:3">
      <c r="B131" s="15" t="s">
        <v>104</v>
      </c>
      <c r="C131" s="8" t="s">
        <v>97</v>
      </c>
    </row>
    <row r="132" spans="2:3">
      <c r="B132" s="15" t="s">
        <v>74</v>
      </c>
      <c r="C132" s="8" t="s">
        <v>97</v>
      </c>
    </row>
    <row r="133" spans="2:3">
      <c r="B133" s="15" t="s">
        <v>75</v>
      </c>
      <c r="C133" s="8" t="s">
        <v>97</v>
      </c>
    </row>
    <row r="134" spans="2:3">
      <c r="B134" s="15" t="s">
        <v>105</v>
      </c>
      <c r="C134" s="8" t="s">
        <v>97</v>
      </c>
    </row>
    <row r="135" spans="2:3">
      <c r="B135" s="15" t="s">
        <v>76</v>
      </c>
      <c r="C135" s="8" t="s">
        <v>97</v>
      </c>
    </row>
    <row r="136" spans="2:3">
      <c r="B136" s="15" t="s">
        <v>106</v>
      </c>
      <c r="C136" s="8" t="s">
        <v>97</v>
      </c>
    </row>
    <row r="137" spans="2:3">
      <c r="B137" s="15" t="s">
        <v>107</v>
      </c>
      <c r="C137" s="8" t="s">
        <v>97</v>
      </c>
    </row>
    <row r="138" spans="2:3">
      <c r="B138" s="15" t="s">
        <v>108</v>
      </c>
      <c r="C138" s="8" t="s">
        <v>97</v>
      </c>
    </row>
    <row r="139" spans="2:3">
      <c r="B139" s="15" t="s">
        <v>77</v>
      </c>
      <c r="C139" s="8" t="s">
        <v>97</v>
      </c>
    </row>
    <row r="140" spans="2:3">
      <c r="B140" s="15" t="s">
        <v>78</v>
      </c>
      <c r="C140" s="8" t="s">
        <v>93</v>
      </c>
    </row>
    <row r="141" spans="2:3">
      <c r="B141" s="15" t="s">
        <v>79</v>
      </c>
      <c r="C141" s="8" t="s">
        <v>97</v>
      </c>
    </row>
    <row r="142" spans="2:3">
      <c r="B142" s="15" t="s">
        <v>109</v>
      </c>
      <c r="C142" s="8" t="s">
        <v>97</v>
      </c>
    </row>
    <row r="143" spans="2:3">
      <c r="B143" s="15" t="s">
        <v>80</v>
      </c>
      <c r="C143" s="8" t="s">
        <v>97</v>
      </c>
    </row>
    <row r="144" spans="2:3">
      <c r="B144" s="15" t="s">
        <v>81</v>
      </c>
      <c r="C144" s="8" t="s">
        <v>97</v>
      </c>
    </row>
    <row r="145" spans="2:3">
      <c r="B145" s="15" t="s">
        <v>110</v>
      </c>
      <c r="C145" s="8" t="s">
        <v>97</v>
      </c>
    </row>
    <row r="146" spans="2:3">
      <c r="B146" s="15" t="s">
        <v>111</v>
      </c>
      <c r="C146" s="8" t="s">
        <v>97</v>
      </c>
    </row>
    <row r="147" spans="2:3">
      <c r="B147" s="15" t="s">
        <v>112</v>
      </c>
      <c r="C147" s="8" t="s">
        <v>97</v>
      </c>
    </row>
    <row r="148" spans="2:3">
      <c r="B148" s="15" t="s">
        <v>113</v>
      </c>
      <c r="C148" s="8" t="s">
        <v>97</v>
      </c>
    </row>
    <row r="149" spans="2:3">
      <c r="B149" s="15" t="s">
        <v>82</v>
      </c>
      <c r="C149" s="8" t="s">
        <v>97</v>
      </c>
    </row>
    <row r="150" spans="2:3">
      <c r="B150" s="15" t="s">
        <v>114</v>
      </c>
      <c r="C150" s="8" t="s">
        <v>97</v>
      </c>
    </row>
    <row r="151" spans="2:3">
      <c r="B151" s="15" t="s">
        <v>115</v>
      </c>
      <c r="C151" s="8" t="s">
        <v>97</v>
      </c>
    </row>
    <row r="152" spans="2:3">
      <c r="B152" s="15" t="s">
        <v>83</v>
      </c>
      <c r="C152" s="8" t="s">
        <v>97</v>
      </c>
    </row>
    <row r="153" spans="2:3">
      <c r="B153" s="15" t="s">
        <v>116</v>
      </c>
      <c r="C153" s="8" t="s">
        <v>97</v>
      </c>
    </row>
    <row r="154" spans="2:3">
      <c r="B154" s="15" t="s">
        <v>117</v>
      </c>
      <c r="C154" s="8" t="s">
        <v>97</v>
      </c>
    </row>
    <row r="155" spans="2:3">
      <c r="B155" s="15" t="s">
        <v>118</v>
      </c>
      <c r="C155" s="8" t="s">
        <v>97</v>
      </c>
    </row>
    <row r="156" spans="2:3">
      <c r="B156" s="15" t="s">
        <v>84</v>
      </c>
      <c r="C156" s="8" t="s">
        <v>97</v>
      </c>
    </row>
    <row r="157" spans="2:3">
      <c r="B157" s="15" t="s">
        <v>85</v>
      </c>
      <c r="C157" s="8" t="s">
        <v>97</v>
      </c>
    </row>
    <row r="158" spans="2:3">
      <c r="B158" s="15" t="s">
        <v>119</v>
      </c>
      <c r="C158" s="8" t="s">
        <v>97</v>
      </c>
    </row>
    <row r="159" spans="2:3">
      <c r="B159" s="15" t="s">
        <v>86</v>
      </c>
      <c r="C159" s="8" t="s">
        <v>97</v>
      </c>
    </row>
    <row r="160" spans="2:3">
      <c r="B160" s="15" t="s">
        <v>87</v>
      </c>
      <c r="C160" s="8" t="s">
        <v>93</v>
      </c>
    </row>
    <row r="161" spans="2:3">
      <c r="B161" s="16" t="s">
        <v>88</v>
      </c>
      <c r="C161" s="8" t="s">
        <v>97</v>
      </c>
    </row>
  </sheetData>
  <mergeCells count="1">
    <mergeCell ref="F3:O4"/>
  </mergeCells>
  <phoneticPr fontId="9" type="noConversion"/>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untWcagOccurrences">
                <anchor moveWithCells="1">
                  <from>
                    <xdr:col>4</xdr:col>
                    <xdr:colOff>601980</xdr:colOff>
                    <xdr:row>2</xdr:row>
                    <xdr:rowOff>0</xdr:rowOff>
                  </from>
                  <to>
                    <xdr:col>6</xdr:col>
                    <xdr:colOff>556260</xdr:colOff>
                    <xdr:row>3</xdr:row>
                    <xdr:rowOff>175260</xdr:rowOff>
                  </to>
                </anchor>
              </controlPr>
            </control>
          </mc:Choice>
        </mc:AlternateContent>
        <mc:AlternateContent xmlns:mc="http://schemas.openxmlformats.org/markup-compatibility/2006">
          <mc:Choice Requires="x14">
            <control shapeId="1026" r:id="rId5" name="Button 2">
              <controlPr defaultSize="0" print="0" autoFill="0" autoPict="0" macro="[0]!Cleanthesheet">
                <anchor moveWithCells="1">
                  <from>
                    <xdr:col>13</xdr:col>
                    <xdr:colOff>22860</xdr:colOff>
                    <xdr:row>1</xdr:row>
                    <xdr:rowOff>213360</xdr:rowOff>
                  </from>
                  <to>
                    <xdr:col>15</xdr:col>
                    <xdr:colOff>0</xdr:colOff>
                    <xdr:row>20</xdr:row>
                    <xdr:rowOff>0</xdr:rowOff>
                  </to>
                </anchor>
              </controlPr>
            </control>
          </mc:Choice>
        </mc:AlternateContent>
        <mc:AlternateContent xmlns:mc="http://schemas.openxmlformats.org/markup-compatibility/2006">
          <mc:Choice Requires="x14">
            <control shapeId="1027" r:id="rId6" name="Button 3">
              <controlPr defaultSize="0" print="0" autoFill="0" autoPict="0" macro="[0]!MakeDataReady">
                <anchor moveWithCells="1">
                  <from>
                    <xdr:col>7</xdr:col>
                    <xdr:colOff>365760</xdr:colOff>
                    <xdr:row>2</xdr:row>
                    <xdr:rowOff>0</xdr:rowOff>
                  </from>
                  <to>
                    <xdr:col>9</xdr:col>
                    <xdr:colOff>365760</xdr:colOff>
                    <xdr:row>3</xdr:row>
                    <xdr:rowOff>175260</xdr:rowOff>
                  </to>
                </anchor>
              </controlPr>
            </control>
          </mc:Choice>
        </mc:AlternateContent>
        <mc:AlternateContent xmlns:mc="http://schemas.openxmlformats.org/markup-compatibility/2006">
          <mc:Choice Requires="x14">
            <control shapeId="1028" r:id="rId7" name="Button 4">
              <controlPr defaultSize="0" print="0" autoFill="0" autoPict="0" macro="[0]!GenerateMaill">
                <anchor moveWithCells="1">
                  <from>
                    <xdr:col>10</xdr:col>
                    <xdr:colOff>205740</xdr:colOff>
                    <xdr:row>2</xdr:row>
                    <xdr:rowOff>0</xdr:rowOff>
                  </from>
                  <to>
                    <xdr:col>12</xdr:col>
                    <xdr:colOff>152400</xdr:colOff>
                    <xdr:row>20</xdr:row>
                    <xdr:rowOff>0</xdr:rowOff>
                  </to>
                </anchor>
              </controlPr>
            </control>
          </mc:Choice>
        </mc:AlternateContent>
      </controls>
    </mc:Choice>
  </mc:AlternateContent>
  <tableParts count="6">
    <tablePart r:id="rId8"/>
    <tablePart r:id="rId9"/>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8"/>
  <sheetViews>
    <sheetView zoomScale="85" zoomScaleNormal="85" workbookViewId="0">
      <selection activeCell="A4" sqref="A4"/>
    </sheetView>
  </sheetViews>
  <sheetFormatPr defaultRowHeight="14.4"/>
  <cols>
    <col min="1" max="1" width="5.77734375" customWidth="1"/>
    <col min="2" max="2" width="49.6640625" bestFit="1" customWidth="1"/>
    <col min="3" max="3" width="15.33203125" bestFit="1" customWidth="1"/>
    <col min="4" max="4" width="14.109375" customWidth="1"/>
    <col min="5" max="5" width="9.88671875" customWidth="1"/>
    <col min="6" max="6" width="11.109375" customWidth="1"/>
    <col min="7" max="7" width="15.109375" customWidth="1"/>
    <col min="8" max="8" width="17.88671875" customWidth="1"/>
    <col min="9" max="9" width="18.109375" bestFit="1" customWidth="1"/>
    <col min="10" max="10" width="12.88671875" bestFit="1" customWidth="1"/>
    <col min="13" max="13" width="13.6640625" bestFit="1" customWidth="1"/>
    <col min="14" max="14" width="12.6640625" bestFit="1" customWidth="1"/>
  </cols>
  <sheetData>
    <row r="1" spans="1:19" ht="15.75" customHeight="1" thickBot="1"/>
    <row r="2" spans="1:19">
      <c r="A2" s="42" t="s">
        <v>159</v>
      </c>
      <c r="B2" s="44" t="s">
        <v>147</v>
      </c>
      <c r="C2" s="44" t="s">
        <v>148</v>
      </c>
      <c r="D2" s="44"/>
      <c r="E2" s="44"/>
      <c r="F2" s="44"/>
      <c r="G2" s="44" t="s">
        <v>149</v>
      </c>
      <c r="H2" s="44"/>
      <c r="I2" s="44" t="s">
        <v>150</v>
      </c>
      <c r="J2" s="44"/>
      <c r="K2" s="44"/>
      <c r="L2" s="44"/>
      <c r="M2" s="44"/>
      <c r="N2" s="44"/>
      <c r="O2" s="44"/>
      <c r="P2" s="44" t="s">
        <v>151</v>
      </c>
      <c r="Q2" s="44"/>
      <c r="R2" s="44"/>
      <c r="S2" s="45"/>
    </row>
    <row r="3" spans="1:19">
      <c r="A3" s="43"/>
      <c r="B3" s="46"/>
      <c r="C3" s="20" t="s">
        <v>152</v>
      </c>
      <c r="D3" s="20" t="s">
        <v>153</v>
      </c>
      <c r="E3" s="20" t="s">
        <v>154</v>
      </c>
      <c r="F3" s="20" t="s">
        <v>155</v>
      </c>
      <c r="G3" s="18" t="s">
        <v>156</v>
      </c>
      <c r="H3" s="18" t="s">
        <v>157</v>
      </c>
      <c r="I3" s="18" t="s">
        <v>20</v>
      </c>
      <c r="J3" s="18" t="s">
        <v>21</v>
      </c>
      <c r="K3" s="18" t="s">
        <v>22</v>
      </c>
      <c r="L3" s="18" t="s">
        <v>23</v>
      </c>
      <c r="M3" s="18" t="s">
        <v>24</v>
      </c>
      <c r="N3" s="18" t="s">
        <v>25</v>
      </c>
      <c r="O3" s="18" t="s">
        <v>26</v>
      </c>
      <c r="P3" s="18" t="s">
        <v>27</v>
      </c>
      <c r="Q3" s="18" t="s">
        <v>28</v>
      </c>
      <c r="R3" s="18" t="s">
        <v>29</v>
      </c>
      <c r="S3" s="19" t="s">
        <v>30</v>
      </c>
    </row>
    <row r="4" spans="1:19">
      <c r="A4" s="2"/>
      <c r="B4" s="17" t="s">
        <v>5</v>
      </c>
      <c r="C4" s="23" t="s">
        <v>158</v>
      </c>
      <c r="D4" s="23" t="s">
        <v>158</v>
      </c>
      <c r="E4" s="23" t="s">
        <v>158</v>
      </c>
      <c r="F4" s="23" t="s">
        <v>158</v>
      </c>
      <c r="G4" s="21">
        <v>20</v>
      </c>
      <c r="H4" s="21">
        <v>8</v>
      </c>
      <c r="I4" s="21">
        <v>0</v>
      </c>
      <c r="J4" s="21">
        <v>6</v>
      </c>
      <c r="K4" s="21">
        <v>2</v>
      </c>
      <c r="L4" s="21">
        <v>1</v>
      </c>
      <c r="M4" s="21">
        <v>2</v>
      </c>
      <c r="N4" s="21">
        <v>15</v>
      </c>
      <c r="O4" s="21">
        <v>2</v>
      </c>
      <c r="P4" s="21">
        <v>0</v>
      </c>
      <c r="Q4" s="21">
        <v>0</v>
      </c>
      <c r="R4" s="21">
        <v>11</v>
      </c>
      <c r="S4" s="22">
        <v>17</v>
      </c>
    </row>
    <row r="5" spans="1:19">
      <c r="A5" s="2"/>
      <c r="B5" s="17" t="s">
        <v>6</v>
      </c>
      <c r="C5" s="23" t="s">
        <v>158</v>
      </c>
      <c r="D5" s="23" t="s">
        <v>158</v>
      </c>
      <c r="E5" s="23" t="s">
        <v>158</v>
      </c>
      <c r="F5" s="23" t="s">
        <v>158</v>
      </c>
      <c r="G5" s="21">
        <v>17</v>
      </c>
      <c r="H5" s="21">
        <v>6</v>
      </c>
      <c r="I5" s="21">
        <v>2</v>
      </c>
      <c r="J5" s="21">
        <v>5</v>
      </c>
      <c r="K5" s="21">
        <v>0</v>
      </c>
      <c r="L5" s="21">
        <v>1</v>
      </c>
      <c r="M5" s="21">
        <v>1</v>
      </c>
      <c r="N5" s="21">
        <v>13</v>
      </c>
      <c r="O5" s="21">
        <v>1</v>
      </c>
      <c r="P5" s="21">
        <v>0</v>
      </c>
      <c r="Q5" s="21">
        <v>2</v>
      </c>
      <c r="R5" s="21">
        <v>7</v>
      </c>
      <c r="S5" s="22">
        <v>14</v>
      </c>
    </row>
    <row r="6" spans="1:19">
      <c r="A6" s="2"/>
      <c r="B6" s="17" t="s">
        <v>7</v>
      </c>
      <c r="C6" s="23" t="s">
        <v>158</v>
      </c>
      <c r="D6" s="23" t="s">
        <v>158</v>
      </c>
      <c r="E6" s="23" t="s">
        <v>158</v>
      </c>
      <c r="F6" s="23" t="s">
        <v>158</v>
      </c>
      <c r="G6" s="21">
        <v>24</v>
      </c>
      <c r="H6" s="21">
        <v>9</v>
      </c>
      <c r="I6" s="21">
        <v>4</v>
      </c>
      <c r="J6" s="21">
        <v>6</v>
      </c>
      <c r="K6" s="21">
        <v>1</v>
      </c>
      <c r="L6" s="21">
        <v>0</v>
      </c>
      <c r="M6" s="21">
        <v>3</v>
      </c>
      <c r="N6" s="21">
        <v>18</v>
      </c>
      <c r="O6" s="21">
        <v>1</v>
      </c>
      <c r="P6" s="21">
        <v>0</v>
      </c>
      <c r="Q6" s="21">
        <v>1</v>
      </c>
      <c r="R6" s="21">
        <v>17</v>
      </c>
      <c r="S6" s="22">
        <v>15</v>
      </c>
    </row>
    <row r="7" spans="1:19">
      <c r="A7" s="2"/>
      <c r="B7" s="17" t="s">
        <v>8</v>
      </c>
      <c r="C7" s="23" t="s">
        <v>158</v>
      </c>
      <c r="D7" s="23" t="s">
        <v>158</v>
      </c>
      <c r="E7" s="23" t="s">
        <v>158</v>
      </c>
      <c r="F7" s="23" t="s">
        <v>158</v>
      </c>
      <c r="G7" s="21">
        <v>13</v>
      </c>
      <c r="H7" s="21">
        <v>5</v>
      </c>
      <c r="I7" s="21">
        <v>3</v>
      </c>
      <c r="J7" s="21">
        <v>4</v>
      </c>
      <c r="K7" s="21">
        <v>0</v>
      </c>
      <c r="L7" s="21">
        <v>0</v>
      </c>
      <c r="M7" s="21">
        <v>3</v>
      </c>
      <c r="N7" s="21">
        <v>7</v>
      </c>
      <c r="O7" s="21">
        <v>1</v>
      </c>
      <c r="P7" s="21">
        <v>0</v>
      </c>
      <c r="Q7" s="21">
        <v>0</v>
      </c>
      <c r="R7" s="21">
        <v>11</v>
      </c>
      <c r="S7" s="22">
        <v>7</v>
      </c>
    </row>
    <row r="8" spans="1:19">
      <c r="A8" s="2"/>
      <c r="B8" s="17" t="s">
        <v>9</v>
      </c>
      <c r="C8" s="23" t="s">
        <v>158</v>
      </c>
      <c r="D8" s="23" t="s">
        <v>158</v>
      </c>
      <c r="E8" s="23" t="s">
        <v>158</v>
      </c>
      <c r="F8" s="23" t="s">
        <v>158</v>
      </c>
      <c r="G8" s="21">
        <v>1</v>
      </c>
      <c r="H8" s="21">
        <v>1</v>
      </c>
      <c r="I8" s="21">
        <v>0</v>
      </c>
      <c r="J8" s="21">
        <v>1</v>
      </c>
      <c r="K8" s="21">
        <v>0</v>
      </c>
      <c r="L8" s="21">
        <v>0</v>
      </c>
      <c r="M8" s="21">
        <v>0</v>
      </c>
      <c r="N8" s="21">
        <v>1</v>
      </c>
      <c r="O8" s="21">
        <v>0</v>
      </c>
      <c r="P8" s="21">
        <v>0</v>
      </c>
      <c r="Q8" s="21">
        <v>0</v>
      </c>
      <c r="R8" s="21">
        <v>0</v>
      </c>
      <c r="S8" s="22">
        <v>2</v>
      </c>
    </row>
    <row r="9" spans="1:19">
      <c r="A9" s="2"/>
      <c r="B9" s="17" t="s">
        <v>10</v>
      </c>
      <c r="C9" s="23" t="s">
        <v>158</v>
      </c>
      <c r="D9" s="23" t="s">
        <v>158</v>
      </c>
      <c r="E9" s="23" t="s">
        <v>158</v>
      </c>
      <c r="F9" s="23" t="s">
        <v>158</v>
      </c>
      <c r="G9" s="21">
        <v>11</v>
      </c>
      <c r="H9" s="21">
        <v>12</v>
      </c>
      <c r="I9" s="21">
        <v>3</v>
      </c>
      <c r="J9" s="21">
        <v>7</v>
      </c>
      <c r="K9" s="21">
        <v>1</v>
      </c>
      <c r="L9" s="21">
        <v>3</v>
      </c>
      <c r="M9" s="21">
        <v>4</v>
      </c>
      <c r="N9" s="21">
        <v>4</v>
      </c>
      <c r="O9" s="21">
        <v>1</v>
      </c>
      <c r="P9" s="21">
        <v>0</v>
      </c>
      <c r="Q9" s="21">
        <v>0</v>
      </c>
      <c r="R9" s="21">
        <v>8</v>
      </c>
      <c r="S9" s="22">
        <v>15</v>
      </c>
    </row>
    <row r="10" spans="1:19">
      <c r="A10" s="2"/>
      <c r="B10" s="17" t="s">
        <v>11</v>
      </c>
      <c r="C10" s="23" t="s">
        <v>158</v>
      </c>
      <c r="D10" s="23" t="s">
        <v>158</v>
      </c>
      <c r="E10" s="23" t="s">
        <v>158</v>
      </c>
      <c r="F10" s="23" t="s">
        <v>158</v>
      </c>
      <c r="G10" s="21">
        <v>3</v>
      </c>
      <c r="H10" s="21">
        <v>0</v>
      </c>
      <c r="I10" s="21">
        <v>0</v>
      </c>
      <c r="J10" s="21">
        <v>0</v>
      </c>
      <c r="K10" s="21">
        <v>0</v>
      </c>
      <c r="L10" s="21">
        <v>0</v>
      </c>
      <c r="M10" s="21">
        <v>1</v>
      </c>
      <c r="N10" s="21">
        <v>2</v>
      </c>
      <c r="O10" s="21">
        <v>0</v>
      </c>
      <c r="P10" s="21">
        <v>0</v>
      </c>
      <c r="Q10" s="21">
        <v>0</v>
      </c>
      <c r="R10" s="21">
        <v>1</v>
      </c>
      <c r="S10" s="22">
        <v>2</v>
      </c>
    </row>
    <row r="11" spans="1:19">
      <c r="A11" s="2"/>
      <c r="B11" s="17" t="s">
        <v>12</v>
      </c>
      <c r="C11" s="23" t="s">
        <v>158</v>
      </c>
      <c r="D11" s="23" t="s">
        <v>158</v>
      </c>
      <c r="E11" s="23" t="s">
        <v>158</v>
      </c>
      <c r="F11" s="23" t="s">
        <v>158</v>
      </c>
      <c r="G11" s="21">
        <v>6</v>
      </c>
      <c r="H11" s="21">
        <v>2</v>
      </c>
      <c r="I11" s="21">
        <v>0</v>
      </c>
      <c r="J11" s="21">
        <v>1</v>
      </c>
      <c r="K11" s="21">
        <v>0</v>
      </c>
      <c r="L11" s="21">
        <v>1</v>
      </c>
      <c r="M11" s="21">
        <v>1</v>
      </c>
      <c r="N11" s="21">
        <v>1</v>
      </c>
      <c r="O11" s="21">
        <v>4</v>
      </c>
      <c r="P11" s="21">
        <v>0</v>
      </c>
      <c r="Q11" s="21">
        <v>0</v>
      </c>
      <c r="R11" s="21">
        <v>5</v>
      </c>
      <c r="S11" s="22">
        <v>3</v>
      </c>
    </row>
    <row r="12" spans="1:19">
      <c r="A12" s="2"/>
      <c r="B12" s="17" t="s">
        <v>13</v>
      </c>
      <c r="C12" s="23" t="s">
        <v>158</v>
      </c>
      <c r="D12" s="23" t="s">
        <v>158</v>
      </c>
      <c r="E12" s="23" t="s">
        <v>158</v>
      </c>
      <c r="F12" s="23" t="s">
        <v>158</v>
      </c>
      <c r="G12" s="21">
        <v>15</v>
      </c>
      <c r="H12" s="21">
        <v>9</v>
      </c>
      <c r="I12" s="21">
        <v>3</v>
      </c>
      <c r="J12" s="21">
        <v>4</v>
      </c>
      <c r="K12" s="21">
        <v>0</v>
      </c>
      <c r="L12" s="21">
        <v>1</v>
      </c>
      <c r="M12" s="21">
        <v>8</v>
      </c>
      <c r="N12" s="21">
        <v>5</v>
      </c>
      <c r="O12" s="21">
        <v>3</v>
      </c>
      <c r="P12" s="21">
        <v>0</v>
      </c>
      <c r="Q12" s="21">
        <v>1</v>
      </c>
      <c r="R12" s="21">
        <v>10</v>
      </c>
      <c r="S12" s="22">
        <v>13</v>
      </c>
    </row>
    <row r="13" spans="1:19">
      <c r="A13" s="2"/>
      <c r="B13" s="17" t="s">
        <v>14</v>
      </c>
      <c r="C13" s="23" t="s">
        <v>158</v>
      </c>
      <c r="D13" s="23" t="s">
        <v>158</v>
      </c>
      <c r="E13" s="23" t="s">
        <v>158</v>
      </c>
      <c r="F13" s="23" t="s">
        <v>158</v>
      </c>
      <c r="G13" s="21">
        <v>8</v>
      </c>
      <c r="H13" s="21">
        <v>7</v>
      </c>
      <c r="I13" s="21">
        <v>2</v>
      </c>
      <c r="J13" s="21">
        <v>4</v>
      </c>
      <c r="K13" s="21">
        <v>0</v>
      </c>
      <c r="L13" s="21">
        <v>1</v>
      </c>
      <c r="M13" s="21">
        <v>2</v>
      </c>
      <c r="N13" s="21">
        <v>5</v>
      </c>
      <c r="O13" s="21">
        <v>1</v>
      </c>
      <c r="P13" s="21">
        <v>0</v>
      </c>
      <c r="Q13" s="21">
        <v>0</v>
      </c>
      <c r="R13" s="21">
        <v>9</v>
      </c>
      <c r="S13" s="22">
        <v>6</v>
      </c>
    </row>
    <row r="14" spans="1:19">
      <c r="A14" s="2"/>
      <c r="B14" s="17" t="s">
        <v>15</v>
      </c>
      <c r="C14" s="23" t="s">
        <v>158</v>
      </c>
      <c r="D14" s="23" t="s">
        <v>158</v>
      </c>
      <c r="E14" s="23" t="s">
        <v>158</v>
      </c>
      <c r="F14" s="23" t="s">
        <v>158</v>
      </c>
      <c r="G14" s="21">
        <v>17</v>
      </c>
      <c r="H14" s="21">
        <v>8</v>
      </c>
      <c r="I14" s="21">
        <v>5</v>
      </c>
      <c r="J14" s="21">
        <v>6</v>
      </c>
      <c r="K14" s="21">
        <v>1</v>
      </c>
      <c r="L14" s="21">
        <v>0</v>
      </c>
      <c r="M14" s="21">
        <v>1</v>
      </c>
      <c r="N14" s="21">
        <v>12</v>
      </c>
      <c r="O14" s="21">
        <v>0</v>
      </c>
      <c r="P14" s="21">
        <v>0</v>
      </c>
      <c r="Q14" s="21">
        <v>3</v>
      </c>
      <c r="R14" s="21">
        <v>12</v>
      </c>
      <c r="S14" s="22">
        <v>10</v>
      </c>
    </row>
    <row r="15" spans="1:19">
      <c r="A15" s="2"/>
      <c r="B15" s="17" t="s">
        <v>16</v>
      </c>
      <c r="C15" s="23" t="s">
        <v>158</v>
      </c>
      <c r="D15" s="23" t="s">
        <v>158</v>
      </c>
      <c r="E15" s="23" t="s">
        <v>158</v>
      </c>
      <c r="F15" s="23" t="s">
        <v>158</v>
      </c>
      <c r="G15" s="21">
        <v>10</v>
      </c>
      <c r="H15" s="21">
        <v>8</v>
      </c>
      <c r="I15" s="21">
        <v>2</v>
      </c>
      <c r="J15" s="21">
        <v>5</v>
      </c>
      <c r="K15" s="21">
        <v>0</v>
      </c>
      <c r="L15" s="21">
        <v>1</v>
      </c>
      <c r="M15" s="21">
        <v>2</v>
      </c>
      <c r="N15" s="21">
        <v>5</v>
      </c>
      <c r="O15" s="21">
        <v>3</v>
      </c>
      <c r="P15" s="21">
        <v>0</v>
      </c>
      <c r="Q15" s="21">
        <v>1</v>
      </c>
      <c r="R15" s="21">
        <v>7</v>
      </c>
      <c r="S15" s="22">
        <v>10</v>
      </c>
    </row>
    <row r="16" spans="1:19">
      <c r="A16" s="2"/>
      <c r="B16" s="17" t="s">
        <v>17</v>
      </c>
      <c r="C16" s="23" t="s">
        <v>158</v>
      </c>
      <c r="D16" s="23" t="s">
        <v>158</v>
      </c>
      <c r="E16" s="23" t="s">
        <v>158</v>
      </c>
      <c r="F16" s="23" t="s">
        <v>158</v>
      </c>
      <c r="G16" s="21">
        <v>6</v>
      </c>
      <c r="H16" s="21">
        <v>4</v>
      </c>
      <c r="I16" s="21">
        <v>0</v>
      </c>
      <c r="J16" s="21">
        <v>3</v>
      </c>
      <c r="K16" s="21">
        <v>0</v>
      </c>
      <c r="L16" s="21">
        <v>0</v>
      </c>
      <c r="M16" s="21">
        <v>1</v>
      </c>
      <c r="N16" s="21">
        <v>5</v>
      </c>
      <c r="O16" s="21">
        <v>1</v>
      </c>
      <c r="P16" s="21">
        <v>1</v>
      </c>
      <c r="Q16" s="21">
        <v>1</v>
      </c>
      <c r="R16" s="21">
        <v>4</v>
      </c>
      <c r="S16" s="22">
        <v>4</v>
      </c>
    </row>
    <row r="17" spans="1:19">
      <c r="A17" s="2"/>
      <c r="B17" s="17" t="s">
        <v>18</v>
      </c>
      <c r="C17" s="23" t="s">
        <v>158</v>
      </c>
      <c r="D17" s="23" t="s">
        <v>158</v>
      </c>
      <c r="E17" s="23" t="s">
        <v>158</v>
      </c>
      <c r="F17" s="23" t="s">
        <v>158</v>
      </c>
      <c r="G17" s="21">
        <v>2</v>
      </c>
      <c r="H17" s="21">
        <v>1</v>
      </c>
      <c r="I17" s="21">
        <v>0</v>
      </c>
      <c r="J17" s="21">
        <v>1</v>
      </c>
      <c r="K17" s="21">
        <v>0</v>
      </c>
      <c r="L17" s="21">
        <v>0</v>
      </c>
      <c r="M17" s="21">
        <v>0</v>
      </c>
      <c r="N17" s="21">
        <v>2</v>
      </c>
      <c r="O17" s="21">
        <v>0</v>
      </c>
      <c r="P17" s="21">
        <v>0</v>
      </c>
      <c r="Q17" s="21">
        <v>0</v>
      </c>
      <c r="R17" s="21">
        <v>0</v>
      </c>
      <c r="S17" s="22">
        <v>3</v>
      </c>
    </row>
    <row r="18" spans="1:19" ht="15" thickBot="1">
      <c r="A18" s="3"/>
      <c r="B18" s="27" t="s">
        <v>19</v>
      </c>
      <c r="C18" s="24" t="s">
        <v>158</v>
      </c>
      <c r="D18" s="24" t="s">
        <v>158</v>
      </c>
      <c r="E18" s="24" t="s">
        <v>158</v>
      </c>
      <c r="F18" s="24" t="s">
        <v>158</v>
      </c>
      <c r="G18" s="25">
        <v>11</v>
      </c>
      <c r="H18" s="25">
        <v>7</v>
      </c>
      <c r="I18" s="25">
        <v>3</v>
      </c>
      <c r="J18" s="25">
        <v>4</v>
      </c>
      <c r="K18" s="25">
        <v>0</v>
      </c>
      <c r="L18" s="25">
        <v>0</v>
      </c>
      <c r="M18" s="25">
        <v>2</v>
      </c>
      <c r="N18" s="25">
        <v>8</v>
      </c>
      <c r="O18" s="25">
        <v>1</v>
      </c>
      <c r="P18" s="25">
        <v>0</v>
      </c>
      <c r="Q18" s="25">
        <v>0</v>
      </c>
      <c r="R18" s="25">
        <v>12</v>
      </c>
      <c r="S18" s="26">
        <v>6</v>
      </c>
    </row>
  </sheetData>
  <mergeCells count="6">
    <mergeCell ref="A2:A3"/>
    <mergeCell ref="P2:S2"/>
    <mergeCell ref="G2:H2"/>
    <mergeCell ref="I2:O2"/>
    <mergeCell ref="B2:B3"/>
    <mergeCell ref="C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96429-46AB-4AE0-A695-5F3F38FE238F}">
  <sheetPr codeName="Sheet3"/>
  <dimension ref="A1:L4"/>
  <sheetViews>
    <sheetView workbookViewId="0">
      <selection activeCell="D19" sqref="D19"/>
    </sheetView>
  </sheetViews>
  <sheetFormatPr defaultRowHeight="14.4"/>
  <sheetData>
    <row r="1" spans="1:12">
      <c r="A1" t="s">
        <v>160</v>
      </c>
      <c r="B1" t="s">
        <v>161</v>
      </c>
      <c r="C1" t="s">
        <v>162</v>
      </c>
      <c r="D1" t="s">
        <v>163</v>
      </c>
      <c r="E1" t="s">
        <v>164</v>
      </c>
      <c r="F1" t="s">
        <v>165</v>
      </c>
      <c r="G1" t="s">
        <v>166</v>
      </c>
      <c r="H1" t="s">
        <v>31</v>
      </c>
      <c r="I1" t="s">
        <v>167</v>
      </c>
      <c r="J1" t="s">
        <v>168</v>
      </c>
      <c r="K1" t="s">
        <v>169</v>
      </c>
      <c r="L1" t="s">
        <v>1</v>
      </c>
    </row>
    <row r="2" spans="1:12">
      <c r="A2">
        <v>1</v>
      </c>
      <c r="B2" t="s">
        <v>170</v>
      </c>
      <c r="C2" s="47" t="s">
        <v>171</v>
      </c>
      <c r="D2" t="s">
        <v>172</v>
      </c>
      <c r="E2" t="s">
        <v>173</v>
      </c>
      <c r="F2" t="s">
        <v>174</v>
      </c>
      <c r="G2" t="s">
        <v>47</v>
      </c>
      <c r="H2" t="s">
        <v>35</v>
      </c>
      <c r="I2" t="s">
        <v>29</v>
      </c>
      <c r="J2" t="s">
        <v>175</v>
      </c>
      <c r="K2" t="s">
        <v>20</v>
      </c>
      <c r="L2" t="s">
        <v>176</v>
      </c>
    </row>
    <row r="3" spans="1:12">
      <c r="A3">
        <v>2</v>
      </c>
      <c r="B3" t="s">
        <v>177</v>
      </c>
      <c r="C3" s="47" t="s">
        <v>178</v>
      </c>
      <c r="D3" t="s">
        <v>179</v>
      </c>
      <c r="E3" t="s">
        <v>180</v>
      </c>
      <c r="F3" t="s">
        <v>181</v>
      </c>
      <c r="G3" t="s">
        <v>48</v>
      </c>
      <c r="H3" t="s">
        <v>33</v>
      </c>
      <c r="I3" t="s">
        <v>30</v>
      </c>
      <c r="J3" t="s">
        <v>175</v>
      </c>
      <c r="K3" t="s">
        <v>23</v>
      </c>
      <c r="L3" t="s">
        <v>182</v>
      </c>
    </row>
    <row r="4" spans="1:12">
      <c r="A4">
        <v>3</v>
      </c>
      <c r="B4" t="s">
        <v>183</v>
      </c>
      <c r="C4" s="47" t="s">
        <v>184</v>
      </c>
      <c r="D4" s="47" t="s">
        <v>185</v>
      </c>
      <c r="E4" t="s">
        <v>186</v>
      </c>
      <c r="F4" t="s">
        <v>187</v>
      </c>
      <c r="G4" t="s">
        <v>46</v>
      </c>
      <c r="H4" t="s">
        <v>35</v>
      </c>
      <c r="I4" t="s">
        <v>30</v>
      </c>
      <c r="J4" t="s">
        <v>158</v>
      </c>
      <c r="K4" t="s">
        <v>24</v>
      </c>
      <c r="L4" t="s">
        <v>176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Scope &amp; Enviornment</vt:lpstr>
      <vt:lpstr>Data &amp; Chart</vt:lpstr>
      <vt:lpstr>Execution Summary</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Jain, Ashish</dc:creator>
  <cp:lastModifiedBy>KHUSHWANT PARIHAR</cp:lastModifiedBy>
  <dcterms:created xsi:type="dcterms:W3CDTF">2022-05-30T04:57:01Z</dcterms:created>
  <dcterms:modified xsi:type="dcterms:W3CDTF">2023-03-23T05:06:06Z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e1e58c1-766d-4ff4-9619-b604fc37898b_Enabled">
    <vt:lpwstr>true</vt:lpwstr>
  </property>
  <property fmtid="{D5CDD505-2E9C-101B-9397-08002B2CF9AE}" pid="3" name="MSIP_Label_9e1e58c1-766d-4ff4-9619-b604fc37898b_SetDate">
    <vt:lpwstr>2023-02-17T10:20:04Z</vt:lpwstr>
  </property>
  <property fmtid="{D5CDD505-2E9C-101B-9397-08002B2CF9AE}" pid="4" name="MSIP_Label_9e1e58c1-766d-4ff4-9619-b604fc37898b_Method">
    <vt:lpwstr>Standard</vt:lpwstr>
  </property>
  <property fmtid="{D5CDD505-2E9C-101B-9397-08002B2CF9AE}" pid="5" name="MSIP_Label_9e1e58c1-766d-4ff4-9619-b604fc37898b_Name">
    <vt:lpwstr>Internal Use</vt:lpwstr>
  </property>
  <property fmtid="{D5CDD505-2E9C-101B-9397-08002B2CF9AE}" pid="6" name="MSIP_Label_9e1e58c1-766d-4ff4-9619-b604fc37898b_SiteId">
    <vt:lpwstr>e3ff91d8-34c8-4b15-a0b4-18910a6ac575</vt:lpwstr>
  </property>
  <property fmtid="{D5CDD505-2E9C-101B-9397-08002B2CF9AE}" pid="7" name="MSIP_Label_9e1e58c1-766d-4ff4-9619-b604fc37898b_ActionId">
    <vt:lpwstr>d777e72d-bdbc-4b06-934a-6a8ed7fd02c4</vt:lpwstr>
  </property>
  <property fmtid="{D5CDD505-2E9C-101B-9397-08002B2CF9AE}" pid="8" name="MSIP_Label_9e1e58c1-766d-4ff4-9619-b604fc37898b_ContentBits">
    <vt:lpwstr>0</vt:lpwstr>
  </property>
  <property fmtid="{D5CDD505-2E9C-101B-9397-08002B2CF9AE}" pid="9" name="MSIP_Label_defa4170-0d19-0005-0004-bc88714345d2_Enabled">
    <vt:lpwstr>true</vt:lpwstr>
  </property>
  <property fmtid="{D5CDD505-2E9C-101B-9397-08002B2CF9AE}" pid="10" name="MSIP_Label_defa4170-0d19-0005-0004-bc88714345d2_SetDate">
    <vt:lpwstr>2023-03-17T06:19:14Z</vt:lpwstr>
  </property>
  <property fmtid="{D5CDD505-2E9C-101B-9397-08002B2CF9AE}" pid="11" name="MSIP_Label_defa4170-0d19-0005-0004-bc88714345d2_Method">
    <vt:lpwstr>Standard</vt:lpwstr>
  </property>
  <property fmtid="{D5CDD505-2E9C-101B-9397-08002B2CF9AE}" pid="12" name="MSIP_Label_defa4170-0d19-0005-0004-bc88714345d2_Name">
    <vt:lpwstr>defa4170-0d19-0005-0004-bc88714345d2</vt:lpwstr>
  </property>
  <property fmtid="{D5CDD505-2E9C-101B-9397-08002B2CF9AE}" pid="13" name="MSIP_Label_defa4170-0d19-0005-0004-bc88714345d2_SiteId">
    <vt:lpwstr>9831da1d-5b64-4c30-a284-da88b8bf4d2a</vt:lpwstr>
  </property>
  <property fmtid="{D5CDD505-2E9C-101B-9397-08002B2CF9AE}" pid="14" name="MSIP_Label_defa4170-0d19-0005-0004-bc88714345d2_ActionId">
    <vt:lpwstr>f2e94e1a-5631-46d7-abba-2a4bc03fea80</vt:lpwstr>
  </property>
  <property fmtid="{D5CDD505-2E9C-101B-9397-08002B2CF9AE}" pid="15" name="MSIP_Label_defa4170-0d19-0005-0004-bc88714345d2_ContentBits">
    <vt:lpwstr>0</vt:lpwstr>
  </property>
</Properties>
</file>